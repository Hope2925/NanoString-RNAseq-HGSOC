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pekirby/Desktop/Clauset/EGA_rel_data/"/>
    </mc:Choice>
  </mc:AlternateContent>
  <xr:revisionPtr revIDLastSave="0" documentId="13_ncr:1_{A7692CFA-7E61-BB42-9C29-10BE33C34F44}" xr6:coauthVersionLast="47" xr6:coauthVersionMax="47" xr10:uidLastSave="{00000000-0000-0000-0000-000000000000}"/>
  <bookViews>
    <workbookView xWindow="11800" yWindow="500" windowWidth="21280" windowHeight="18960" xr2:uid="{D8ECA41A-1E2E-9B48-9200-0F974161F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B21" i="1"/>
  <c r="AB5" i="1"/>
  <c r="AB2" i="1"/>
</calcChain>
</file>

<file path=xl/sharedStrings.xml><?xml version="1.0" encoding="utf-8"?>
<sst xmlns="http://schemas.openxmlformats.org/spreadsheetml/2006/main" count="1129" uniqueCount="323">
  <si>
    <t>Patient</t>
  </si>
  <si>
    <t>Final_Bool</t>
  </si>
  <si>
    <t>Assay</t>
  </si>
  <si>
    <t>RNAseqID</t>
  </si>
  <si>
    <t>Twin</t>
  </si>
  <si>
    <t>EOC1005</t>
  </si>
  <si>
    <t>SC</t>
  </si>
  <si>
    <t>Y</t>
  </si>
  <si>
    <t>N</t>
  </si>
  <si>
    <t>EOC1005_pPer1_RNA_seq6</t>
  </si>
  <si>
    <t>Bulk</t>
  </si>
  <si>
    <t>NA</t>
  </si>
  <si>
    <t>EOC136</t>
  </si>
  <si>
    <t>EOC136_treatmentNaive_Mesentery</t>
  </si>
  <si>
    <t>EOC136_postNACT_Omentum</t>
  </si>
  <si>
    <t>EOC136_pMes1_RNA1_seq6a</t>
  </si>
  <si>
    <t>EOC136_iOme1_RNA1_seq6</t>
  </si>
  <si>
    <t>EOC153</t>
  </si>
  <si>
    <t>EOC153_treatmentNaive_omentum</t>
  </si>
  <si>
    <t>EOC153_postNACT_Omentum</t>
  </si>
  <si>
    <t>EOC227</t>
  </si>
  <si>
    <t>EOC227_treatmentNaive_Omentum</t>
  </si>
  <si>
    <t>EOC227_postNACT_Omentum</t>
  </si>
  <si>
    <t>EOC3</t>
  </si>
  <si>
    <t>EOC3_treatmentNaive_Peritoneum</t>
  </si>
  <si>
    <t>EOC3_postNACT_Omentum</t>
  </si>
  <si>
    <t>EOC3_pPer1_RNA1_seq6</t>
  </si>
  <si>
    <t>EOC349</t>
  </si>
  <si>
    <t>EOC349_treatmentNaive_Peritoneum</t>
  </si>
  <si>
    <t>EOC349_postNACT_Omentum</t>
  </si>
  <si>
    <t>EOC372</t>
  </si>
  <si>
    <t>EOC372_treatmentNaive_Peritoneum</t>
  </si>
  <si>
    <t>EOC372_postNACT_Peritoneum</t>
  </si>
  <si>
    <t>EOC372_pPer1_RNA1_seq5</t>
  </si>
  <si>
    <t>EOC372_iPer1_RNA1_seq5</t>
  </si>
  <si>
    <t>EOC443</t>
  </si>
  <si>
    <t>EOC443_treatmentNaive_Omentum</t>
  </si>
  <si>
    <t>EOC443_postNACT_Omentum</t>
  </si>
  <si>
    <t>EOC443_pOme1_RNA1_seq5</t>
  </si>
  <si>
    <t>EOC443_iOme2_RNA1_seq6</t>
  </si>
  <si>
    <t>EOC443_pPer2_RNA1_seq6</t>
  </si>
  <si>
    <t>EOC443_iOvaR1_RNA1_seq6</t>
  </si>
  <si>
    <t>EOC540</t>
  </si>
  <si>
    <t>EOC540_treatmentNaive_Omentum</t>
  </si>
  <si>
    <t>EOC540_postNACT_Omentum</t>
  </si>
  <si>
    <t>EOC540_p2Ome1_RNA_seq6</t>
  </si>
  <si>
    <t>EOC733</t>
  </si>
  <si>
    <t>EOC733_pPer1_RNA1_seq6</t>
  </si>
  <si>
    <t>EOC733_treatmentNaive_Peritoneum</t>
  </si>
  <si>
    <t>EOC733_postNACT_Omentum</t>
  </si>
  <si>
    <t>EOC87</t>
  </si>
  <si>
    <t>EOC87_treatmentNaive_Peritoneum</t>
  </si>
  <si>
    <t>EOC87_postNACT_Omentum</t>
  </si>
  <si>
    <t>EOC87_pOme1A_RNA1_seq6</t>
  </si>
  <si>
    <t>EOC87_pPer1B_RNA1_seq6</t>
  </si>
  <si>
    <t>EOC87_iPer1B_RNA_seq6</t>
  </si>
  <si>
    <t>EOC1129</t>
  </si>
  <si>
    <t>EOC1129_iAsc1_RNA1_seq6</t>
  </si>
  <si>
    <t>EOC1129_pOvaR1_RNA1_seq6b</t>
  </si>
  <si>
    <t>EOC1129_iOvaR1_RNA1_seq6</t>
  </si>
  <si>
    <t>EOC1129_pOme1_RNA1_seq5</t>
  </si>
  <si>
    <t>EOC1129_pPer2_RNA1_seq5</t>
  </si>
  <si>
    <t>EOC1129_iMes1_RNA1_seq6</t>
  </si>
  <si>
    <t>EOC183</t>
  </si>
  <si>
    <t>EOC183_pMes_RNA1_seq4</t>
  </si>
  <si>
    <t>EOC183_pOme1_RNA1_seq4</t>
  </si>
  <si>
    <t>EOC183_iOme1_RNA1_seq4</t>
  </si>
  <si>
    <t>EOC183_pPer_RNA1_seq4</t>
  </si>
  <si>
    <t>EOC183_iOvaR_RNA1_seq4</t>
  </si>
  <si>
    <t>EOC183_iTub_RNA1_seq4</t>
  </si>
  <si>
    <t>EOC218</t>
  </si>
  <si>
    <t>EOC26</t>
  </si>
  <si>
    <t>EOC26_pOme1_RNA1_seq3</t>
  </si>
  <si>
    <t>EOC26_iOme1_RNA1_seq3</t>
  </si>
  <si>
    <t>EOC26_iOva2_RNA1_seq3</t>
  </si>
  <si>
    <t>EOC26_iTubR1_RNA1_seq3</t>
  </si>
  <si>
    <t>EOC26_iAsc1_RNA1_seq3</t>
  </si>
  <si>
    <t>EOC376</t>
  </si>
  <si>
    <t>EOC376_pOme1_RNA1_seq5</t>
  </si>
  <si>
    <t>EOC376_iOme1_RNA3_seq5</t>
  </si>
  <si>
    <t>EOC423</t>
  </si>
  <si>
    <t>EOC423_pOme2_RNA1_seq5</t>
  </si>
  <si>
    <t>EOC423_iOvaR1_RNA1_seq6</t>
  </si>
  <si>
    <t>EOC568</t>
  </si>
  <si>
    <t>EOC568_pTubL1_RNA1_seq5</t>
  </si>
  <si>
    <t>EOC568_iOme1_RNA2_seq5</t>
  </si>
  <si>
    <t>EOC587</t>
  </si>
  <si>
    <t>EOC587_pAdnL1_RNA_seq6</t>
  </si>
  <si>
    <t>EOC587_iOth1_RNA1_seq6</t>
  </si>
  <si>
    <t>EOC649</t>
  </si>
  <si>
    <t>EOC649_pPer1_RNA_seq6</t>
  </si>
  <si>
    <t>EOC649_iOme1_RNA2_seq5</t>
  </si>
  <si>
    <t>EOC649_iOvaL1_RNA1_seq6</t>
  </si>
  <si>
    <t>EOC677</t>
  </si>
  <si>
    <t>EOC677_pAsc_RNA1_seq6</t>
  </si>
  <si>
    <t>EOC677_pPer1_RNA_seq6</t>
  </si>
  <si>
    <t>EOC677_iPer_RNA_seq6</t>
  </si>
  <si>
    <t>EOC883</t>
  </si>
  <si>
    <t>EOC883_pAsc1_RNA1_seq6</t>
  </si>
  <si>
    <t>EOC883_iAsc_RNA1_seq6</t>
  </si>
  <si>
    <t>EOC933</t>
  </si>
  <si>
    <t>EOC933_pPer1_RNA1_seq6</t>
  </si>
  <si>
    <t>EOC933_pOvaL1_RNA1_seq6</t>
  </si>
  <si>
    <t>EOC933_pOme1_RNA2_seq5</t>
  </si>
  <si>
    <t>EOC933_iMes1_RNA1_seq5</t>
  </si>
  <si>
    <t>EOC868</t>
  </si>
  <si>
    <t>EOC868_pPer_RNA_seq2</t>
  </si>
  <si>
    <t>EOC868_iOme_RNA_seq2</t>
  </si>
  <si>
    <t>EOC868_iOva_RNA_seq2</t>
  </si>
  <si>
    <t>EOC1133</t>
  </si>
  <si>
    <t>EOC1133_pPer_RNA_seq2</t>
  </si>
  <si>
    <t>EOC1133_iOme_RNA_seq2</t>
  </si>
  <si>
    <t>EOC167</t>
  </si>
  <si>
    <t>EOC167_pOme1_RNA1_seq3</t>
  </si>
  <si>
    <t>EOC167_pPer1_RNA1_seq3</t>
  </si>
  <si>
    <t>EOC167_pOva1_RNA1_seq3</t>
  </si>
  <si>
    <t>EOC167_pTum1_CL290_RNA1_seq3</t>
  </si>
  <si>
    <t>EOC167_iAsc1_CL105_RNA1_seq3</t>
  </si>
  <si>
    <t>EOC167_iAsc1_CL133_RNA1_seq3</t>
  </si>
  <si>
    <t>EOC740</t>
  </si>
  <si>
    <t>EOC740_pPer1_RNA2_seq5</t>
  </si>
  <si>
    <t>EOC551</t>
  </si>
  <si>
    <t>EOC740_iOme1_RNA1_seq6</t>
  </si>
  <si>
    <t>EOC740_iOvaR1_RNA1_seq5</t>
  </si>
  <si>
    <t>EOC551_pOva_RNA_seq2</t>
  </si>
  <si>
    <t>EOC551_iOme_RNA_seq2</t>
  </si>
  <si>
    <t>EOC60</t>
  </si>
  <si>
    <t>EOC60_pPer_RNA_seq2</t>
  </si>
  <si>
    <t>EOC60_iMes_RNA_seq2</t>
  </si>
  <si>
    <t>OG_Tissue</t>
  </si>
  <si>
    <t>Twin_Tissue</t>
  </si>
  <si>
    <t>Peritoneum</t>
  </si>
  <si>
    <t>Tumor</t>
  </si>
  <si>
    <t>Mesentery</t>
  </si>
  <si>
    <t>Omentum</t>
  </si>
  <si>
    <t>Ovary</t>
  </si>
  <si>
    <t>Ascites</t>
  </si>
  <si>
    <t>Left Ovary</t>
  </si>
  <si>
    <t>Tube</t>
  </si>
  <si>
    <t>Adnexa</t>
  </si>
  <si>
    <t>Other (Liver?)</t>
  </si>
  <si>
    <t>EOC87_iOme1A_RNA1_seq6</t>
  </si>
  <si>
    <t>EOC87_iOme1_RNA1_seq6a, EOC87_iOme1_RNA1_seq6b</t>
  </si>
  <si>
    <t>Death</t>
  </si>
  <si>
    <t>Res_Tumor_afterPDS</t>
  </si>
  <si>
    <t>Chemo_regimen</t>
  </si>
  <si>
    <t>Therapy_outcome</t>
  </si>
  <si>
    <t>PFS_mth</t>
  </si>
  <si>
    <t>PFI_days</t>
  </si>
  <si>
    <t>OS_mths</t>
  </si>
  <si>
    <t>Stage</t>
  </si>
  <si>
    <t>IVA</t>
  </si>
  <si>
    <t>1-10 mm</t>
  </si>
  <si>
    <t>CP-TX-BV</t>
  </si>
  <si>
    <t>PR</t>
  </si>
  <si>
    <t>CP-TX</t>
  </si>
  <si>
    <t>CR</t>
  </si>
  <si>
    <t>PD</t>
  </si>
  <si>
    <t>IIIC</t>
  </si>
  <si>
    <t>&gt;10 mm</t>
  </si>
  <si>
    <t>0</t>
  </si>
  <si>
    <t>PD after NACT</t>
  </si>
  <si>
    <t>CP</t>
  </si>
  <si>
    <t>&gt; 10 mm</t>
  </si>
  <si>
    <t>IVB</t>
  </si>
  <si>
    <t>no DS</t>
  </si>
  <si>
    <t>SD</t>
  </si>
  <si>
    <t>28 (or 12)</t>
  </si>
  <si>
    <t>PFI_daysZhang</t>
  </si>
  <si>
    <t>CRS</t>
  </si>
  <si>
    <t>CA125_Uperml_TN</t>
  </si>
  <si>
    <t>CA125_Uperml_PN</t>
  </si>
  <si>
    <t>Age_Zhang</t>
  </si>
  <si>
    <t>Final_PFI_days</t>
  </si>
  <si>
    <t>PFI_source</t>
  </si>
  <si>
    <t>Piet</t>
  </si>
  <si>
    <t>Zhang</t>
  </si>
  <si>
    <t>Zhang_Piet</t>
  </si>
  <si>
    <t>Pre</t>
  </si>
  <si>
    <t>Post</t>
  </si>
  <si>
    <t>MultiQC Notes</t>
  </si>
  <si>
    <t>Timing</t>
  </si>
  <si>
    <t>20M</t>
  </si>
  <si>
    <t>38.6M</t>
  </si>
  <si>
    <t>48.3M</t>
  </si>
  <si>
    <t>43M</t>
  </si>
  <si>
    <t>53M</t>
  </si>
  <si>
    <t>65.7M</t>
  </si>
  <si>
    <t>44M</t>
  </si>
  <si>
    <t>seq6A_L3: 19.7M; seq6A_L4: 19.6M; seq6b_L3: 33.9M; seq6b:_L4 34.3M</t>
  </si>
  <si>
    <t>EOC1129_pAsc1_RNA1_seq6a</t>
  </si>
  <si>
    <t>41.4M</t>
  </si>
  <si>
    <t>63.2M</t>
  </si>
  <si>
    <t>L1: 31.6M; L2: 31.2M</t>
  </si>
  <si>
    <t>49.2M</t>
  </si>
  <si>
    <t>37.5M</t>
  </si>
  <si>
    <t>42.5M</t>
  </si>
  <si>
    <t>49.3M</t>
  </si>
  <si>
    <t>48.1M</t>
  </si>
  <si>
    <t>33.2M</t>
  </si>
  <si>
    <t>36.5M</t>
  </si>
  <si>
    <t>46.9M</t>
  </si>
  <si>
    <t>44.3M</t>
  </si>
  <si>
    <t>30.5M</t>
  </si>
  <si>
    <t>41.7M</t>
  </si>
  <si>
    <t>42.2M</t>
  </si>
  <si>
    <t>33.6M</t>
  </si>
  <si>
    <t>33M</t>
  </si>
  <si>
    <t>45.1M</t>
  </si>
  <si>
    <t>42.8M</t>
  </si>
  <si>
    <t>37.8M</t>
  </si>
  <si>
    <t>57.1M</t>
  </si>
  <si>
    <t>EOC587_pPer_RNA_seq6</t>
  </si>
  <si>
    <t>48.6M</t>
  </si>
  <si>
    <t>EOC649_pOme1_RNA2_seq5</t>
  </si>
  <si>
    <t>66.3M</t>
  </si>
  <si>
    <t>41.8M</t>
  </si>
  <si>
    <t>51.8M</t>
  </si>
  <si>
    <t>L1: 27.3M; L2: 26.8M</t>
  </si>
  <si>
    <t>EOC883_pAdnR1_RNA1_seq6</t>
  </si>
  <si>
    <t>L3: 22M; L4: 22.3M</t>
  </si>
  <si>
    <t>41.6M</t>
  </si>
  <si>
    <t>52.5M</t>
  </si>
  <si>
    <t>42.6M</t>
  </si>
  <si>
    <t>37.4M</t>
  </si>
  <si>
    <t>43.1M</t>
  </si>
  <si>
    <t>40.9M</t>
  </si>
  <si>
    <t>55.7M</t>
  </si>
  <si>
    <t>40.4M</t>
  </si>
  <si>
    <t>30.3M</t>
  </si>
  <si>
    <t>24M</t>
  </si>
  <si>
    <t>29.8M</t>
  </si>
  <si>
    <t>33.5M</t>
  </si>
  <si>
    <t>68.9M</t>
  </si>
  <si>
    <t>43.7M</t>
  </si>
  <si>
    <t>48.8M</t>
  </si>
  <si>
    <t>41.2M</t>
  </si>
  <si>
    <t>47M</t>
  </si>
  <si>
    <t>L3: 37M; L4: 37.8M --&gt; merged</t>
  </si>
  <si>
    <t>L3: 30.M; L4: 30.3M --&gt; merged</t>
  </si>
  <si>
    <t>L3: 27.1M; L4: 27.7M</t>
  </si>
  <si>
    <t>L3: 18.6M; L4: 18.3M</t>
  </si>
  <si>
    <t>EOC677_iOvaR_RNA1_seq6b</t>
  </si>
  <si>
    <t>EOC677_iOvaR_RNA1_seq6a</t>
  </si>
  <si>
    <t>Right Ovary</t>
  </si>
  <si>
    <t>L3: 15.5M; L4: 15.1M (30M)</t>
  </si>
  <si>
    <r>
      <t>9113_L3: 14.1M; 9113_L4: 14.2M (30M);</t>
    </r>
    <r>
      <rPr>
        <sz val="12"/>
        <color theme="1"/>
        <rFont val="Calibri"/>
        <family val="2"/>
        <scheme val="minor"/>
      </rPr>
      <t xml:space="preserve"> 6796_L3: 10.6M; 6796_L4: 10.6M (22M)</t>
    </r>
  </si>
  <si>
    <t>9113_L3: 9.5M; 9113_L4: 9.52M (21M); 6796_L1: 4.9M; 6796_L2: 4.8M (10M)</t>
  </si>
  <si>
    <t>Backup</t>
  </si>
  <si>
    <t>A: 49M</t>
  </si>
  <si>
    <t>B_L1: 30.8M; B_L2: 30.5M</t>
  </si>
  <si>
    <t>EOC568_pMes1_RNA1_seq6a</t>
  </si>
  <si>
    <t>EOC568_pMes1_RNA1_seq6b</t>
  </si>
  <si>
    <t>44.2M</t>
  </si>
  <si>
    <t>EOC26_pPer1_RNA2_seq3</t>
  </si>
  <si>
    <t>EOC26_pPer2_RNA1_seq3</t>
  </si>
  <si>
    <t>36M</t>
  </si>
  <si>
    <t>30.8M</t>
  </si>
  <si>
    <t>40.7M</t>
  </si>
  <si>
    <t>EOC26_pOvaL1_RNA2_seq3</t>
  </si>
  <si>
    <t>EOC26_pOvaL2_RNA1_seq3</t>
  </si>
  <si>
    <t>36.9M</t>
  </si>
  <si>
    <t>EOC218_pOme1_RNA1_seq3</t>
  </si>
  <si>
    <t>EOC218_pOme3_RNA1_seq3</t>
  </si>
  <si>
    <t>38.4M</t>
  </si>
  <si>
    <t>29.7M</t>
  </si>
  <si>
    <t>31.1M</t>
  </si>
  <si>
    <t>EOC218_iOme4_RNA1_seq3</t>
  </si>
  <si>
    <t>EOC218_iOme6_RNA1_seq3</t>
  </si>
  <si>
    <t>EOC218_iOme2_RNA1_seq3</t>
  </si>
  <si>
    <t>41.5M</t>
  </si>
  <si>
    <t>39.9M</t>
  </si>
  <si>
    <t>EOC218_iMes1_RNA1_seq3</t>
  </si>
  <si>
    <t>EOC218_iMes3_RNA2_seq3</t>
  </si>
  <si>
    <t>EOC218_iMes2_RNA1_seq3</t>
  </si>
  <si>
    <t>32.1M</t>
  </si>
  <si>
    <t>42.9M</t>
  </si>
  <si>
    <t>EOC183_iMes1_RNA1_seq4</t>
  </si>
  <si>
    <t>EOC183_iMes2_RNA1_seq4</t>
  </si>
  <si>
    <t>EOC1129_pAsc1_RNA1_seq6b</t>
  </si>
  <si>
    <t>L1: 31.7M; L2: 31.2M</t>
  </si>
  <si>
    <t>EOC3_iOme2_RNA1_seq6a</t>
  </si>
  <si>
    <t>EOC3_iOme2_RNA1_seq6b</t>
  </si>
  <si>
    <t>L3:30.4M;L4:30.6M</t>
  </si>
  <si>
    <t>L3 is 22.1M; L4 is 22.5M</t>
  </si>
  <si>
    <t>EOC136_pMes1_RNA1_seq6b</t>
  </si>
  <si>
    <t>L3: 15.7M, L4: 16M</t>
  </si>
  <si>
    <r>
      <t>9003_L1: 17.7M; 9003_L2: 17.7M (35M)</t>
    </r>
    <r>
      <rPr>
        <sz val="12"/>
        <color theme="1"/>
        <rFont val="Calibri"/>
        <family val="2"/>
        <scheme val="minor"/>
      </rPr>
      <t>; 7141_L1: 14.2M; 7141_L2: 13.1M</t>
    </r>
  </si>
  <si>
    <r>
      <t xml:space="preserve">7141_L1: 12.6M; 7141_L2: 11.7M (24M); </t>
    </r>
    <r>
      <rPr>
        <sz val="12"/>
        <color theme="1"/>
        <rFont val="Calibri"/>
        <family val="2"/>
        <scheme val="minor"/>
      </rPr>
      <t>9003_L1: 6.8M; 9003_L2: 6.8M</t>
    </r>
  </si>
  <si>
    <t>28M</t>
  </si>
  <si>
    <r>
      <rPr>
        <b/>
        <sz val="12"/>
        <color theme="1"/>
        <rFont val="Calibri"/>
        <family val="2"/>
        <scheme val="minor"/>
      </rPr>
      <t>9003_L1: 26.4M; 9003_L2: 26.4M (52M)</t>
    </r>
    <r>
      <rPr>
        <sz val="12"/>
        <color theme="1"/>
        <rFont val="Calibri"/>
        <family val="2"/>
        <scheme val="minor"/>
      </rPr>
      <t>; 6891_: 17.5M; 7141_L1: 15.9M; 7141_L2: 14.7M (31M)</t>
    </r>
  </si>
  <si>
    <t>6796_L3: 38.9M; 6796_L4: 39.9M (80M)</t>
  </si>
  <si>
    <r>
      <t>9003_L1: 13.7M; 9003_L2: 13.7M (27M)</t>
    </r>
    <r>
      <rPr>
        <sz val="12"/>
        <color theme="1"/>
        <rFont val="Calibri"/>
        <family val="2"/>
        <scheme val="minor"/>
      </rPr>
      <t>; 7141_L1: 13M; 7141_L2: 12M (25M)</t>
    </r>
  </si>
  <si>
    <r>
      <t>9003_L1: 14M; 9003_L2: 14M (28M)</t>
    </r>
    <r>
      <rPr>
        <sz val="12"/>
        <color theme="1"/>
        <rFont val="Calibri"/>
        <family val="2"/>
        <scheme val="minor"/>
      </rPr>
      <t>; 7141_L1: 13.6M; 7141_L2: 12.6M (26M)</t>
    </r>
  </si>
  <si>
    <t>ExtraID</t>
  </si>
  <si>
    <t>52.2M; iOme and iOva looked identical but this has more unique reads</t>
  </si>
  <si>
    <t>60.2M; Looked best on FastqC</t>
  </si>
  <si>
    <t>Extra</t>
  </si>
  <si>
    <t>Extra1</t>
  </si>
  <si>
    <t>Extra2</t>
  </si>
  <si>
    <t>SC_Match</t>
  </si>
  <si>
    <t>EOC1005_interval_Tumor</t>
  </si>
  <si>
    <t>EOC1005_primary_Peritoneum</t>
  </si>
  <si>
    <t>EOC136_primary_Mesentery</t>
  </si>
  <si>
    <t>EOC136_interval_Omentum</t>
  </si>
  <si>
    <t>EOC153_interval_Omentum</t>
  </si>
  <si>
    <t>EOC227_primary_Omentum</t>
  </si>
  <si>
    <t>EOC227_interval_Omentum</t>
  </si>
  <si>
    <t>EOC3_primary_Peritoneum</t>
  </si>
  <si>
    <t>EOC3_interval_Omentum</t>
  </si>
  <si>
    <t>EOC349_primary_Peritoneum</t>
  </si>
  <si>
    <t>EOC349_interval_Omentum</t>
  </si>
  <si>
    <t>EOC372_primary_Peritoneum</t>
  </si>
  <si>
    <t>EOC372_interval_Peritoneum</t>
  </si>
  <si>
    <t>EOC443_primary_Omentum</t>
  </si>
  <si>
    <t>EOC443_interval_Omentum</t>
  </si>
  <si>
    <t>EOC540_primary_Omentum</t>
  </si>
  <si>
    <t>EOC540_interval_Omentum</t>
  </si>
  <si>
    <t>EOC733_primary_Peritoneum</t>
  </si>
  <si>
    <t>EOC733_interval_Omentum</t>
  </si>
  <si>
    <t>EOC87_primary_Peritoneum</t>
  </si>
  <si>
    <t>EOC87_interval_Omentum</t>
  </si>
  <si>
    <t>EOC153_primary_Omentum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</si>
</sst>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Helvetica"/>
      <family val="2"/>
    </font>
    <font>
      <b/>
      <sz val="13"/>
      <color rgb="FF595959"/>
      <name val="Arial"/>
      <family val="2"/>
    </font>
    <font>
      <sz val="13"/>
      <color rgb="FF595959"/>
      <name val="Arial"/>
      <family val="2"/>
    </font>
    <font>
      <sz val="12"/>
      <color theme="4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u/>
      <sz val="12"/>
      <color rgb="FF00B050"/>
      <name val="Calibri"/>
      <family val="2"/>
      <scheme val="minor"/>
    </font>
    <font>
      <b/>
      <u/>
      <sz val="12"/>
      <color theme="7"/>
      <name val="Calibri"/>
      <family val="2"/>
      <scheme val="minor"/>
    </font>
    <font>
      <sz val="12"/>
      <color rgb="FFD4D4D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7" fillId="0" borderId="1" xfId="0" applyFont="1" applyBorder="1"/>
    <xf numFmtId="49" fontId="8" fillId="0" borderId="1" xfId="0" applyNumberFormat="1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right" vertical="top"/>
    </xf>
    <xf numFmtId="1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 applyAlignment="1">
      <alignment horizontal="right" vertical="top"/>
    </xf>
    <xf numFmtId="0" fontId="7" fillId="0" borderId="0" xfId="0" applyFont="1"/>
    <xf numFmtId="49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right" vertical="top"/>
    </xf>
    <xf numFmtId="1" fontId="7" fillId="0" borderId="0" xfId="0" applyNumberFormat="1" applyFont="1" applyAlignment="1">
      <alignment horizontal="right" vertical="top"/>
    </xf>
    <xf numFmtId="2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 vertical="top"/>
    </xf>
    <xf numFmtId="49" fontId="9" fillId="0" borderId="1" xfId="0" applyNumberFormat="1" applyFont="1" applyBorder="1" applyAlignment="1">
      <alignment horizontal="center" vertical="top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0" borderId="0" xfId="0" applyFont="1"/>
    <xf numFmtId="0" fontId="14" fillId="0" borderId="0" xfId="0" applyFont="1"/>
    <xf numFmtId="0" fontId="15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1" xfId="0" applyFont="1" applyBorder="1"/>
    <xf numFmtId="0" fontId="0" fillId="0" borderId="1" xfId="0" applyBorder="1"/>
    <xf numFmtId="0" fontId="1" fillId="4" borderId="1" xfId="0" applyFont="1" applyFill="1" applyBorder="1"/>
    <xf numFmtId="0" fontId="12" fillId="0" borderId="1" xfId="0" applyFont="1" applyBorder="1"/>
    <xf numFmtId="0" fontId="3" fillId="0" borderId="1" xfId="0" applyFont="1" applyBorder="1"/>
    <xf numFmtId="0" fontId="0" fillId="4" borderId="1" xfId="0" applyFill="1" applyBorder="1"/>
    <xf numFmtId="0" fontId="0" fillId="4" borderId="0" xfId="0" applyFill="1"/>
    <xf numFmtId="0" fontId="1" fillId="3" borderId="1" xfId="0" applyFont="1" applyFill="1" applyBorder="1"/>
    <xf numFmtId="0" fontId="0" fillId="3" borderId="0" xfId="0" applyFill="1"/>
    <xf numFmtId="0" fontId="7" fillId="0" borderId="2" xfId="0" applyFont="1" applyBorder="1"/>
    <xf numFmtId="49" fontId="9" fillId="0" borderId="2" xfId="0" applyNumberFormat="1" applyFont="1" applyBorder="1" applyAlignment="1">
      <alignment horizontal="center" vertical="top"/>
    </xf>
    <xf numFmtId="2" fontId="8" fillId="0" borderId="2" xfId="0" applyNumberFormat="1" applyFont="1" applyBorder="1" applyAlignment="1">
      <alignment horizontal="right" vertical="top"/>
    </xf>
    <xf numFmtId="1" fontId="7" fillId="0" borderId="2" xfId="0" applyNumberFormat="1" applyFont="1" applyBorder="1" applyAlignment="1">
      <alignment horizontal="right" vertical="top"/>
    </xf>
    <xf numFmtId="0" fontId="0" fillId="3" borderId="1" xfId="0" applyFill="1" applyBorder="1"/>
    <xf numFmtId="1" fontId="7" fillId="0" borderId="0" xfId="0" applyNumberFormat="1" applyFont="1" applyAlignment="1">
      <alignment horizontal="right"/>
    </xf>
    <xf numFmtId="0" fontId="8" fillId="0" borderId="0" xfId="0" applyFont="1" applyAlignment="1">
      <alignment horizontal="right" vertical="top"/>
    </xf>
    <xf numFmtId="0" fontId="4" fillId="3" borderId="0" xfId="0" applyFont="1" applyFill="1"/>
    <xf numFmtId="0" fontId="6" fillId="0" borderId="1" xfId="0" applyFont="1" applyBorder="1"/>
    <xf numFmtId="0" fontId="13" fillId="0" borderId="1" xfId="0" applyFont="1" applyBorder="1"/>
    <xf numFmtId="0" fontId="1" fillId="6" borderId="0" xfId="0" applyFont="1" applyFill="1"/>
    <xf numFmtId="0" fontId="1" fillId="7" borderId="0" xfId="0" applyFont="1" applyFill="1"/>
    <xf numFmtId="0" fontId="4" fillId="4" borderId="0" xfId="0" applyFont="1" applyFill="1"/>
    <xf numFmtId="0" fontId="3" fillId="5" borderId="0" xfId="0" applyFont="1" applyFill="1"/>
    <xf numFmtId="0" fontId="16" fillId="0" borderId="1" xfId="0" applyFont="1" applyBorder="1"/>
    <xf numFmtId="0" fontId="16" fillId="0" borderId="0" xfId="0" applyFont="1"/>
    <xf numFmtId="0" fontId="17" fillId="0" borderId="1" xfId="0" applyFont="1" applyBorder="1"/>
    <xf numFmtId="0" fontId="17" fillId="0" borderId="0" xfId="0" applyFont="1"/>
    <xf numFmtId="0" fontId="18" fillId="0" borderId="1" xfId="0" applyFont="1" applyBorder="1"/>
    <xf numFmtId="0" fontId="18" fillId="0" borderId="0" xfId="0" applyFont="1"/>
    <xf numFmtId="0" fontId="19" fillId="0" borderId="0" xfId="0" applyFont="1"/>
    <xf numFmtId="0" fontId="20" fillId="0" borderId="1" xfId="0" applyFont="1" applyBorder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FFBE-0939-374E-B746-984FA91C6396}">
  <dimension ref="A1:AC125"/>
  <sheetViews>
    <sheetView tabSelected="1" topLeftCell="H1" zoomScaleNormal="107" workbookViewId="0">
      <selection activeCell="P24" sqref="P24"/>
    </sheetView>
  </sheetViews>
  <sheetFormatPr baseColWidth="10" defaultRowHeight="16" x14ac:dyDescent="0.2"/>
  <cols>
    <col min="6" max="6" width="30" customWidth="1"/>
    <col min="7" max="7" width="35.33203125" customWidth="1"/>
    <col min="8" max="8" width="35.83203125" customWidth="1"/>
  </cols>
  <sheetData>
    <row r="1" spans="1:29" ht="17" x14ac:dyDescent="0.2">
      <c r="A1" t="s">
        <v>0</v>
      </c>
      <c r="B1" t="s">
        <v>1</v>
      </c>
      <c r="C1" t="s">
        <v>2</v>
      </c>
      <c r="D1" t="s">
        <v>300</v>
      </c>
      <c r="E1" t="s">
        <v>294</v>
      </c>
      <c r="F1" t="s">
        <v>180</v>
      </c>
      <c r="G1" t="s">
        <v>3</v>
      </c>
      <c r="H1" t="s">
        <v>4</v>
      </c>
      <c r="I1" t="s">
        <v>129</v>
      </c>
      <c r="J1" t="s">
        <v>130</v>
      </c>
      <c r="K1" t="s">
        <v>181</v>
      </c>
      <c r="L1" t="s">
        <v>150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168</v>
      </c>
      <c r="U1" t="s">
        <v>169</v>
      </c>
      <c r="V1" s="18" t="s">
        <v>170</v>
      </c>
      <c r="W1" s="18" t="s">
        <v>171</v>
      </c>
      <c r="X1" t="s">
        <v>172</v>
      </c>
      <c r="Y1" t="s">
        <v>173</v>
      </c>
      <c r="Z1" t="s">
        <v>174</v>
      </c>
    </row>
    <row r="2" spans="1:29" ht="17" x14ac:dyDescent="0.2">
      <c r="A2" s="53" t="s">
        <v>5</v>
      </c>
      <c r="B2" t="s">
        <v>7</v>
      </c>
      <c r="C2" s="1" t="s">
        <v>6</v>
      </c>
      <c r="D2" t="s">
        <v>6</v>
      </c>
      <c r="E2" s="1"/>
      <c r="F2" s="1"/>
      <c r="G2" t="s">
        <v>302</v>
      </c>
      <c r="H2" t="s">
        <v>301</v>
      </c>
      <c r="I2" t="s">
        <v>131</v>
      </c>
      <c r="J2" t="s">
        <v>132</v>
      </c>
      <c r="K2" t="s">
        <v>178</v>
      </c>
      <c r="L2" s="5" t="s">
        <v>151</v>
      </c>
      <c r="M2">
        <v>0</v>
      </c>
      <c r="N2" s="6" t="s">
        <v>152</v>
      </c>
      <c r="O2" s="6" t="s">
        <v>153</v>
      </c>
      <c r="P2" s="6" t="s">
        <v>154</v>
      </c>
      <c r="Q2" s="7">
        <v>9.1333333333333329</v>
      </c>
      <c r="R2" s="8">
        <v>896</v>
      </c>
      <c r="S2" s="8">
        <v>30</v>
      </c>
      <c r="T2" s="20">
        <v>65</v>
      </c>
      <c r="U2">
        <v>2</v>
      </c>
      <c r="V2" s="19">
        <v>3776</v>
      </c>
      <c r="W2" s="19">
        <v>343</v>
      </c>
      <c r="X2">
        <v>73</v>
      </c>
      <c r="Y2">
        <v>896</v>
      </c>
      <c r="Z2" t="s">
        <v>175</v>
      </c>
      <c r="AB2">
        <f>896/30</f>
        <v>29.866666666666667</v>
      </c>
      <c r="AC2">
        <f>65/30</f>
        <v>2.1666666666666665</v>
      </c>
    </row>
    <row r="3" spans="1:29" x14ac:dyDescent="0.2">
      <c r="A3" s="53" t="s">
        <v>5</v>
      </c>
      <c r="B3" t="s">
        <v>7</v>
      </c>
      <c r="C3" s="1" t="s">
        <v>6</v>
      </c>
      <c r="E3" s="1"/>
      <c r="F3" s="1"/>
      <c r="G3" t="s">
        <v>301</v>
      </c>
      <c r="H3" t="s">
        <v>302</v>
      </c>
      <c r="I3" t="s">
        <v>132</v>
      </c>
      <c r="J3" t="s">
        <v>131</v>
      </c>
      <c r="K3" t="s">
        <v>179</v>
      </c>
    </row>
    <row r="4" spans="1:29" x14ac:dyDescent="0.2">
      <c r="A4" s="1" t="s">
        <v>5</v>
      </c>
      <c r="B4" t="s">
        <v>297</v>
      </c>
      <c r="C4" t="s">
        <v>10</v>
      </c>
      <c r="D4" t="s">
        <v>10</v>
      </c>
      <c r="F4" t="s">
        <v>289</v>
      </c>
      <c r="G4" t="s">
        <v>9</v>
      </c>
      <c r="I4" t="s">
        <v>131</v>
      </c>
      <c r="K4" t="s">
        <v>178</v>
      </c>
    </row>
    <row r="5" spans="1:29" s="26" customFormat="1" ht="17" x14ac:dyDescent="0.2">
      <c r="A5" s="50" t="s">
        <v>12</v>
      </c>
      <c r="B5" s="26" t="s">
        <v>7</v>
      </c>
      <c r="C5" s="26" t="s">
        <v>6</v>
      </c>
      <c r="D5" s="26" t="s">
        <v>6</v>
      </c>
      <c r="G5" s="26" t="s">
        <v>303</v>
      </c>
      <c r="H5" s="26" t="s">
        <v>14</v>
      </c>
      <c r="I5" s="26" t="s">
        <v>133</v>
      </c>
      <c r="J5" s="26" t="s">
        <v>134</v>
      </c>
      <c r="K5" s="26" t="s">
        <v>178</v>
      </c>
      <c r="L5" s="26" t="s">
        <v>151</v>
      </c>
      <c r="M5" s="26">
        <v>0</v>
      </c>
      <c r="N5" s="6" t="s">
        <v>152</v>
      </c>
      <c r="O5" s="6" t="s">
        <v>155</v>
      </c>
      <c r="P5" s="6" t="s">
        <v>156</v>
      </c>
      <c r="Q5" s="7">
        <v>23.833333333333332</v>
      </c>
      <c r="R5" s="8">
        <v>1006</v>
      </c>
      <c r="S5" s="8">
        <v>34</v>
      </c>
      <c r="T5" s="42">
        <v>520</v>
      </c>
      <c r="U5" s="26">
        <v>2</v>
      </c>
      <c r="V5" s="28">
        <v>2647</v>
      </c>
      <c r="W5" s="28">
        <v>212</v>
      </c>
      <c r="X5" s="26">
        <v>64</v>
      </c>
      <c r="Y5" s="26">
        <v>1006</v>
      </c>
      <c r="Z5" s="26" t="s">
        <v>175</v>
      </c>
      <c r="AB5" s="26">
        <f>1006/30</f>
        <v>33.533333333333331</v>
      </c>
    </row>
    <row r="6" spans="1:29" x14ac:dyDescent="0.2">
      <c r="A6" s="51" t="s">
        <v>12</v>
      </c>
      <c r="B6" t="s">
        <v>7</v>
      </c>
      <c r="C6" t="s">
        <v>6</v>
      </c>
      <c r="D6" t="s">
        <v>6</v>
      </c>
      <c r="G6" t="s">
        <v>304</v>
      </c>
      <c r="H6" t="s">
        <v>13</v>
      </c>
      <c r="I6" t="s">
        <v>134</v>
      </c>
      <c r="J6" t="s">
        <v>133</v>
      </c>
      <c r="K6" t="s">
        <v>179</v>
      </c>
    </row>
    <row r="7" spans="1:29" x14ac:dyDescent="0.2">
      <c r="A7" s="1" t="s">
        <v>12</v>
      </c>
      <c r="B7" t="s">
        <v>8</v>
      </c>
      <c r="C7" t="s">
        <v>10</v>
      </c>
      <c r="F7" t="s">
        <v>286</v>
      </c>
      <c r="G7" t="s">
        <v>15</v>
      </c>
    </row>
    <row r="8" spans="1:29" x14ac:dyDescent="0.2">
      <c r="A8" s="44" t="s">
        <v>12</v>
      </c>
      <c r="B8" t="s">
        <v>7</v>
      </c>
      <c r="C8" s="1" t="s">
        <v>10</v>
      </c>
      <c r="D8" t="s">
        <v>10</v>
      </c>
      <c r="E8" s="1">
        <v>9003</v>
      </c>
      <c r="F8" s="1" t="s">
        <v>287</v>
      </c>
      <c r="G8" t="s">
        <v>285</v>
      </c>
      <c r="H8" t="s">
        <v>16</v>
      </c>
      <c r="I8" t="s">
        <v>133</v>
      </c>
      <c r="J8" t="s">
        <v>134</v>
      </c>
      <c r="K8" t="s">
        <v>178</v>
      </c>
    </row>
    <row r="9" spans="1:29" x14ac:dyDescent="0.2">
      <c r="A9" s="44" t="s">
        <v>12</v>
      </c>
      <c r="B9" t="s">
        <v>7</v>
      </c>
      <c r="C9" s="1" t="s">
        <v>10</v>
      </c>
      <c r="D9" t="s">
        <v>10</v>
      </c>
      <c r="E9" s="1">
        <v>7141</v>
      </c>
      <c r="F9" s="1" t="s">
        <v>288</v>
      </c>
      <c r="G9" t="s">
        <v>16</v>
      </c>
      <c r="H9" t="s">
        <v>285</v>
      </c>
      <c r="I9" t="s">
        <v>134</v>
      </c>
      <c r="J9" t="s">
        <v>133</v>
      </c>
      <c r="K9" t="s">
        <v>179</v>
      </c>
    </row>
    <row r="10" spans="1:29" s="26" customFormat="1" x14ac:dyDescent="0.2">
      <c r="A10" s="48" t="s">
        <v>17</v>
      </c>
      <c r="B10" s="26" t="s">
        <v>7</v>
      </c>
      <c r="C10" s="25" t="s">
        <v>6</v>
      </c>
      <c r="D10" s="25"/>
      <c r="E10" s="25"/>
      <c r="F10" s="25"/>
      <c r="G10" s="26" t="s">
        <v>322</v>
      </c>
      <c r="H10" s="26" t="s">
        <v>19</v>
      </c>
      <c r="I10" s="26" t="s">
        <v>134</v>
      </c>
      <c r="J10" s="26" t="s">
        <v>134</v>
      </c>
      <c r="K10" s="26" t="s">
        <v>178</v>
      </c>
      <c r="L10" s="26" t="s">
        <v>151</v>
      </c>
      <c r="T10" s="43">
        <v>393</v>
      </c>
      <c r="U10" s="26">
        <v>2</v>
      </c>
      <c r="X10" s="26">
        <v>78</v>
      </c>
      <c r="Y10" s="26">
        <v>393</v>
      </c>
      <c r="Z10" s="26" t="s">
        <v>176</v>
      </c>
    </row>
    <row r="11" spans="1:29" x14ac:dyDescent="0.2">
      <c r="A11" s="54" t="s">
        <v>17</v>
      </c>
      <c r="B11" t="s">
        <v>7</v>
      </c>
      <c r="C11" s="1" t="s">
        <v>6</v>
      </c>
      <c r="D11" s="1"/>
      <c r="E11" s="1"/>
      <c r="F11" s="1"/>
      <c r="G11" t="s">
        <v>305</v>
      </c>
      <c r="H11" t="s">
        <v>18</v>
      </c>
      <c r="I11" t="s">
        <v>134</v>
      </c>
      <c r="J11" t="s">
        <v>134</v>
      </c>
      <c r="K11" t="s">
        <v>179</v>
      </c>
    </row>
    <row r="12" spans="1:29" s="26" customFormat="1" ht="17" x14ac:dyDescent="0.2">
      <c r="A12" s="48" t="s">
        <v>20</v>
      </c>
      <c r="B12" s="26" t="s">
        <v>7</v>
      </c>
      <c r="C12" s="25" t="s">
        <v>6</v>
      </c>
      <c r="D12" s="25"/>
      <c r="E12" s="25"/>
      <c r="F12" s="25"/>
      <c r="G12" s="26" t="s">
        <v>306</v>
      </c>
      <c r="H12" s="26" t="s">
        <v>22</v>
      </c>
      <c r="I12" s="26" t="s">
        <v>134</v>
      </c>
      <c r="J12" s="26" t="s">
        <v>134</v>
      </c>
      <c r="K12" s="26" t="s">
        <v>178</v>
      </c>
      <c r="L12" s="26" t="s">
        <v>151</v>
      </c>
      <c r="T12" s="43">
        <v>230</v>
      </c>
      <c r="U12" s="26">
        <v>2</v>
      </c>
      <c r="V12" s="28">
        <v>445</v>
      </c>
      <c r="W12" s="28">
        <v>33</v>
      </c>
      <c r="X12" s="26">
        <v>74</v>
      </c>
      <c r="Y12" s="26">
        <v>230</v>
      </c>
      <c r="Z12" s="26" t="s">
        <v>176</v>
      </c>
    </row>
    <row r="13" spans="1:29" x14ac:dyDescent="0.2">
      <c r="A13" s="54" t="s">
        <v>20</v>
      </c>
      <c r="B13" t="s">
        <v>7</v>
      </c>
      <c r="C13" s="1" t="s">
        <v>6</v>
      </c>
      <c r="D13" s="1"/>
      <c r="E13" s="1"/>
      <c r="F13" s="1"/>
      <c r="G13" t="s">
        <v>307</v>
      </c>
      <c r="H13" t="s">
        <v>21</v>
      </c>
      <c r="I13" t="s">
        <v>134</v>
      </c>
      <c r="J13" t="s">
        <v>134</v>
      </c>
      <c r="K13" t="s">
        <v>179</v>
      </c>
    </row>
    <row r="14" spans="1:29" s="26" customFormat="1" ht="17" x14ac:dyDescent="0.2">
      <c r="A14" s="50" t="s">
        <v>23</v>
      </c>
      <c r="B14" s="26" t="s">
        <v>7</v>
      </c>
      <c r="C14" s="26" t="s">
        <v>6</v>
      </c>
      <c r="D14" s="26" t="s">
        <v>6</v>
      </c>
      <c r="G14" s="26" t="s">
        <v>308</v>
      </c>
      <c r="H14" s="26" t="s">
        <v>25</v>
      </c>
      <c r="I14" s="26" t="s">
        <v>131</v>
      </c>
      <c r="J14" s="26" t="s">
        <v>134</v>
      </c>
      <c r="K14" s="26" t="s">
        <v>178</v>
      </c>
      <c r="L14" s="5" t="s">
        <v>151</v>
      </c>
      <c r="M14" s="26">
        <v>1</v>
      </c>
      <c r="N14" s="6" t="s">
        <v>152</v>
      </c>
      <c r="O14" s="6" t="s">
        <v>153</v>
      </c>
      <c r="P14" s="6" t="s">
        <v>157</v>
      </c>
      <c r="Q14" s="7">
        <v>7.8666666666666671</v>
      </c>
      <c r="R14" s="9">
        <v>14</v>
      </c>
      <c r="S14" s="9">
        <v>18</v>
      </c>
      <c r="U14" s="28">
        <v>2</v>
      </c>
      <c r="V14" s="28">
        <v>821</v>
      </c>
      <c r="W14" s="28">
        <v>221</v>
      </c>
      <c r="X14" s="26">
        <v>67</v>
      </c>
      <c r="Y14" s="28">
        <v>14</v>
      </c>
      <c r="Z14" s="26" t="s">
        <v>177</v>
      </c>
    </row>
    <row r="15" spans="1:29" x14ac:dyDescent="0.2">
      <c r="A15" s="51" t="s">
        <v>23</v>
      </c>
      <c r="B15" t="s">
        <v>7</v>
      </c>
      <c r="C15" t="s">
        <v>6</v>
      </c>
      <c r="D15" t="s">
        <v>6</v>
      </c>
      <c r="G15" t="s">
        <v>309</v>
      </c>
      <c r="H15" t="s">
        <v>24</v>
      </c>
      <c r="I15" t="s">
        <v>134</v>
      </c>
      <c r="J15" t="s">
        <v>131</v>
      </c>
      <c r="K15" t="s">
        <v>179</v>
      </c>
    </row>
    <row r="16" spans="1:29" x14ac:dyDescent="0.2">
      <c r="A16" s="44" t="s">
        <v>23</v>
      </c>
      <c r="B16" t="s">
        <v>7</v>
      </c>
      <c r="C16" s="1" t="s">
        <v>10</v>
      </c>
      <c r="D16" t="s">
        <v>10</v>
      </c>
      <c r="E16" s="1"/>
      <c r="F16" s="1" t="s">
        <v>182</v>
      </c>
      <c r="G16" t="s">
        <v>26</v>
      </c>
      <c r="H16" t="s">
        <v>281</v>
      </c>
      <c r="I16" t="s">
        <v>131</v>
      </c>
      <c r="J16" t="s">
        <v>134</v>
      </c>
      <c r="K16" t="s">
        <v>178</v>
      </c>
    </row>
    <row r="17" spans="1:28" x14ac:dyDescent="0.2">
      <c r="A17" s="23" t="s">
        <v>23</v>
      </c>
      <c r="B17" t="s">
        <v>7</v>
      </c>
      <c r="C17" s="1" t="s">
        <v>10</v>
      </c>
      <c r="D17" t="s">
        <v>10</v>
      </c>
      <c r="E17" s="1"/>
      <c r="F17" s="1" t="s">
        <v>283</v>
      </c>
      <c r="G17" t="s">
        <v>281</v>
      </c>
      <c r="H17" t="s">
        <v>26</v>
      </c>
      <c r="I17" t="s">
        <v>134</v>
      </c>
      <c r="J17" t="s">
        <v>131</v>
      </c>
      <c r="K17" s="1" t="s">
        <v>179</v>
      </c>
    </row>
    <row r="18" spans="1:28" x14ac:dyDescent="0.2">
      <c r="A18" s="1" t="s">
        <v>23</v>
      </c>
      <c r="B18" t="s">
        <v>8</v>
      </c>
      <c r="C18" s="1" t="s">
        <v>10</v>
      </c>
      <c r="D18" s="1"/>
      <c r="E18" s="1"/>
      <c r="F18" t="s">
        <v>284</v>
      </c>
      <c r="G18" t="s">
        <v>282</v>
      </c>
      <c r="H18" t="s">
        <v>26</v>
      </c>
      <c r="I18" t="s">
        <v>134</v>
      </c>
      <c r="J18" t="s">
        <v>131</v>
      </c>
      <c r="K18" t="s">
        <v>179</v>
      </c>
    </row>
    <row r="19" spans="1:28" s="26" customFormat="1" ht="17" x14ac:dyDescent="0.2">
      <c r="A19" s="55" t="s">
        <v>27</v>
      </c>
      <c r="B19" s="26" t="s">
        <v>7</v>
      </c>
      <c r="C19" s="25" t="s">
        <v>6</v>
      </c>
      <c r="D19" s="25"/>
      <c r="E19" s="25"/>
      <c r="F19" s="25"/>
      <c r="G19" s="26" t="s">
        <v>310</v>
      </c>
      <c r="H19" s="26" t="s">
        <v>29</v>
      </c>
      <c r="I19" s="26" t="s">
        <v>131</v>
      </c>
      <c r="J19" s="26" t="s">
        <v>134</v>
      </c>
      <c r="K19" s="26" t="s">
        <v>178</v>
      </c>
      <c r="L19" s="26" t="s">
        <v>164</v>
      </c>
      <c r="T19" s="43">
        <v>36</v>
      </c>
      <c r="U19" s="28">
        <v>2</v>
      </c>
      <c r="V19" s="28">
        <v>2155</v>
      </c>
      <c r="W19" s="28">
        <v>67</v>
      </c>
      <c r="X19" s="26">
        <v>67</v>
      </c>
      <c r="Y19" s="28">
        <v>36</v>
      </c>
      <c r="Z19" s="26" t="s">
        <v>176</v>
      </c>
    </row>
    <row r="20" spans="1:28" x14ac:dyDescent="0.2">
      <c r="A20" s="53" t="s">
        <v>27</v>
      </c>
      <c r="B20" t="s">
        <v>7</v>
      </c>
      <c r="C20" s="1" t="s">
        <v>6</v>
      </c>
      <c r="D20" s="1"/>
      <c r="E20" s="1"/>
      <c r="F20" s="1"/>
      <c r="G20" t="s">
        <v>311</v>
      </c>
      <c r="H20" t="s">
        <v>28</v>
      </c>
      <c r="I20" t="s">
        <v>134</v>
      </c>
      <c r="J20" t="s">
        <v>131</v>
      </c>
      <c r="K20" t="s">
        <v>179</v>
      </c>
    </row>
    <row r="21" spans="1:28" s="26" customFormat="1" ht="17" x14ac:dyDescent="0.2">
      <c r="A21" s="48" t="s">
        <v>30</v>
      </c>
      <c r="B21" s="26" t="s">
        <v>7</v>
      </c>
      <c r="C21" s="26" t="s">
        <v>6</v>
      </c>
      <c r="D21" s="26" t="s">
        <v>6</v>
      </c>
      <c r="G21" s="26" t="s">
        <v>312</v>
      </c>
      <c r="H21" s="26" t="s">
        <v>32</v>
      </c>
      <c r="I21" s="26" t="s">
        <v>131</v>
      </c>
      <c r="J21" s="26" t="s">
        <v>131</v>
      </c>
      <c r="K21" s="26" t="s">
        <v>178</v>
      </c>
      <c r="L21" s="5" t="s">
        <v>158</v>
      </c>
      <c r="M21" s="26">
        <v>0</v>
      </c>
      <c r="N21" s="6" t="s">
        <v>159</v>
      </c>
      <c r="O21" s="6" t="s">
        <v>153</v>
      </c>
      <c r="P21" s="6" t="s">
        <v>154</v>
      </c>
      <c r="Q21" s="7">
        <v>23.366666666666667</v>
      </c>
      <c r="R21" s="8">
        <v>1137</v>
      </c>
      <c r="S21" s="8">
        <v>38</v>
      </c>
      <c r="T21" s="42">
        <v>460</v>
      </c>
      <c r="U21" s="28">
        <v>1</v>
      </c>
      <c r="V21" s="28">
        <v>3180</v>
      </c>
      <c r="W21" s="28">
        <v>334</v>
      </c>
      <c r="X21" s="28">
        <v>68</v>
      </c>
      <c r="Y21" s="28">
        <v>1137</v>
      </c>
      <c r="Z21" s="26" t="s">
        <v>175</v>
      </c>
      <c r="AB21" s="26">
        <f>460/30</f>
        <v>15.333333333333334</v>
      </c>
    </row>
    <row r="22" spans="1:28" x14ac:dyDescent="0.2">
      <c r="A22" s="49" t="s">
        <v>30</v>
      </c>
      <c r="B22" t="s">
        <v>7</v>
      </c>
      <c r="C22" t="s">
        <v>6</v>
      </c>
      <c r="D22" t="s">
        <v>6</v>
      </c>
      <c r="G22" t="s">
        <v>313</v>
      </c>
      <c r="H22" t="s">
        <v>31</v>
      </c>
      <c r="I22" t="s">
        <v>131</v>
      </c>
      <c r="J22" t="s">
        <v>131</v>
      </c>
      <c r="K22" t="s">
        <v>179</v>
      </c>
    </row>
    <row r="23" spans="1:28" x14ac:dyDescent="0.2">
      <c r="A23" s="23" t="s">
        <v>30</v>
      </c>
      <c r="B23" t="s">
        <v>7</v>
      </c>
      <c r="C23" s="1" t="s">
        <v>10</v>
      </c>
      <c r="D23" t="s">
        <v>10</v>
      </c>
      <c r="E23" s="1"/>
      <c r="F23" s="1" t="s">
        <v>184</v>
      </c>
      <c r="G23" t="s">
        <v>33</v>
      </c>
      <c r="H23" t="s">
        <v>34</v>
      </c>
      <c r="I23" t="s">
        <v>131</v>
      </c>
      <c r="J23" t="s">
        <v>131</v>
      </c>
      <c r="K23" t="s">
        <v>178</v>
      </c>
    </row>
    <row r="24" spans="1:28" x14ac:dyDescent="0.2">
      <c r="A24" s="23" t="s">
        <v>30</v>
      </c>
      <c r="B24" t="s">
        <v>7</v>
      </c>
      <c r="C24" s="1" t="s">
        <v>10</v>
      </c>
      <c r="D24" t="s">
        <v>10</v>
      </c>
      <c r="E24" s="1"/>
      <c r="F24" s="1" t="s">
        <v>183</v>
      </c>
      <c r="G24" t="s">
        <v>34</v>
      </c>
      <c r="H24" t="s">
        <v>33</v>
      </c>
      <c r="I24" t="s">
        <v>131</v>
      </c>
      <c r="J24" t="s">
        <v>131</v>
      </c>
      <c r="K24" t="s">
        <v>179</v>
      </c>
    </row>
    <row r="25" spans="1:28" s="26" customFormat="1" ht="17" x14ac:dyDescent="0.2">
      <c r="A25" s="48" t="s">
        <v>35</v>
      </c>
      <c r="B25" s="26" t="s">
        <v>7</v>
      </c>
      <c r="C25" s="26" t="s">
        <v>6</v>
      </c>
      <c r="D25" s="26" t="s">
        <v>6</v>
      </c>
      <c r="G25" s="26" t="s">
        <v>314</v>
      </c>
      <c r="H25" s="26" t="s">
        <v>37</v>
      </c>
      <c r="I25" s="26" t="s">
        <v>134</v>
      </c>
      <c r="J25" s="26" t="s">
        <v>134</v>
      </c>
      <c r="K25" s="26" t="s">
        <v>178</v>
      </c>
      <c r="L25" s="5" t="s">
        <v>151</v>
      </c>
      <c r="M25" s="26">
        <v>1</v>
      </c>
      <c r="N25" s="6" t="s">
        <v>160</v>
      </c>
      <c r="O25" s="6" t="s">
        <v>155</v>
      </c>
      <c r="P25" s="6" t="s">
        <v>154</v>
      </c>
      <c r="Q25" s="7">
        <v>11.033333333333333</v>
      </c>
      <c r="R25" s="9">
        <v>177</v>
      </c>
      <c r="S25" s="9">
        <v>30</v>
      </c>
      <c r="U25" s="28">
        <v>3</v>
      </c>
      <c r="V25" s="28">
        <v>2295</v>
      </c>
      <c r="W25" s="28">
        <v>82</v>
      </c>
      <c r="X25" s="28">
        <v>54</v>
      </c>
      <c r="Y25" s="28">
        <v>177</v>
      </c>
      <c r="Z25" s="26" t="s">
        <v>177</v>
      </c>
    </row>
    <row r="26" spans="1:28" x14ac:dyDescent="0.2">
      <c r="A26" s="49" t="s">
        <v>35</v>
      </c>
      <c r="B26" t="s">
        <v>7</v>
      </c>
      <c r="C26" t="s">
        <v>6</v>
      </c>
      <c r="D26" t="s">
        <v>6</v>
      </c>
      <c r="G26" t="s">
        <v>315</v>
      </c>
      <c r="H26" t="s">
        <v>36</v>
      </c>
      <c r="I26" t="s">
        <v>134</v>
      </c>
      <c r="J26" t="s">
        <v>134</v>
      </c>
      <c r="K26" t="s">
        <v>179</v>
      </c>
    </row>
    <row r="27" spans="1:28" x14ac:dyDescent="0.2">
      <c r="A27" s="41" t="s">
        <v>35</v>
      </c>
      <c r="B27" t="s">
        <v>7</v>
      </c>
      <c r="C27" s="1" t="s">
        <v>10</v>
      </c>
      <c r="D27" t="s">
        <v>10</v>
      </c>
      <c r="E27" s="1"/>
      <c r="F27" s="1" t="s">
        <v>185</v>
      </c>
      <c r="G27" t="s">
        <v>38</v>
      </c>
      <c r="H27" t="s">
        <v>39</v>
      </c>
      <c r="I27" t="s">
        <v>134</v>
      </c>
      <c r="J27" t="s">
        <v>134</v>
      </c>
      <c r="K27" t="s">
        <v>178</v>
      </c>
    </row>
    <row r="28" spans="1:28" x14ac:dyDescent="0.2">
      <c r="A28" s="41" t="s">
        <v>35</v>
      </c>
      <c r="B28" t="s">
        <v>7</v>
      </c>
      <c r="C28" s="1" t="s">
        <v>10</v>
      </c>
      <c r="D28" t="s">
        <v>10</v>
      </c>
      <c r="E28" s="1"/>
      <c r="F28" s="1" t="s">
        <v>186</v>
      </c>
      <c r="G28" t="s">
        <v>39</v>
      </c>
      <c r="H28" t="s">
        <v>38</v>
      </c>
      <c r="I28" t="s">
        <v>134</v>
      </c>
      <c r="J28" t="s">
        <v>134</v>
      </c>
      <c r="K28" t="s">
        <v>179</v>
      </c>
    </row>
    <row r="29" spans="1:28" x14ac:dyDescent="0.2">
      <c r="A29" s="46" t="s">
        <v>35</v>
      </c>
      <c r="B29" t="s">
        <v>248</v>
      </c>
      <c r="C29" t="s">
        <v>10</v>
      </c>
      <c r="F29" t="s">
        <v>187</v>
      </c>
      <c r="G29" t="s">
        <v>40</v>
      </c>
      <c r="H29" t="s">
        <v>41</v>
      </c>
      <c r="I29" t="s">
        <v>131</v>
      </c>
      <c r="J29" t="s">
        <v>135</v>
      </c>
      <c r="K29" t="s">
        <v>178</v>
      </c>
    </row>
    <row r="30" spans="1:28" x14ac:dyDescent="0.2">
      <c r="A30" s="46" t="s">
        <v>35</v>
      </c>
      <c r="B30" t="s">
        <v>248</v>
      </c>
      <c r="C30" t="s">
        <v>10</v>
      </c>
      <c r="F30" t="s">
        <v>188</v>
      </c>
      <c r="G30" t="s">
        <v>41</v>
      </c>
      <c r="H30" t="s">
        <v>40</v>
      </c>
      <c r="I30" t="s">
        <v>135</v>
      </c>
      <c r="J30" t="s">
        <v>131</v>
      </c>
      <c r="K30" t="s">
        <v>179</v>
      </c>
    </row>
    <row r="31" spans="1:28" s="26" customFormat="1" ht="17" x14ac:dyDescent="0.2">
      <c r="A31" s="48" t="s">
        <v>42</v>
      </c>
      <c r="B31" s="26" t="s">
        <v>7</v>
      </c>
      <c r="C31" s="25" t="s">
        <v>6</v>
      </c>
      <c r="D31" s="26" t="s">
        <v>6</v>
      </c>
      <c r="E31" s="25"/>
      <c r="F31" s="25"/>
      <c r="G31" s="26" t="s">
        <v>316</v>
      </c>
      <c r="H31" s="26" t="s">
        <v>44</v>
      </c>
      <c r="I31" s="26" t="s">
        <v>134</v>
      </c>
      <c r="J31" s="26" t="s">
        <v>134</v>
      </c>
      <c r="K31" s="26" t="s">
        <v>178</v>
      </c>
      <c r="L31" s="5" t="s">
        <v>158</v>
      </c>
      <c r="M31" s="26">
        <v>1</v>
      </c>
      <c r="N31" s="6" t="s">
        <v>160</v>
      </c>
      <c r="O31" s="6" t="s">
        <v>155</v>
      </c>
      <c r="P31" s="6" t="s">
        <v>156</v>
      </c>
      <c r="Q31" s="7">
        <v>10</v>
      </c>
      <c r="R31" s="8">
        <v>126</v>
      </c>
      <c r="S31" s="15">
        <v>33</v>
      </c>
      <c r="U31" s="28">
        <v>2</v>
      </c>
      <c r="V31" s="28">
        <v>155</v>
      </c>
      <c r="W31" s="28">
        <v>7</v>
      </c>
      <c r="X31" s="26">
        <v>62</v>
      </c>
      <c r="Y31" s="28">
        <v>126</v>
      </c>
      <c r="Z31" s="26" t="s">
        <v>177</v>
      </c>
    </row>
    <row r="32" spans="1:28" x14ac:dyDescent="0.2">
      <c r="A32" s="49" t="s">
        <v>42</v>
      </c>
      <c r="B32" t="s">
        <v>7</v>
      </c>
      <c r="C32" s="1" t="s">
        <v>6</v>
      </c>
      <c r="E32" s="1"/>
      <c r="F32" s="1"/>
      <c r="G32" t="s">
        <v>317</v>
      </c>
      <c r="H32" t="s">
        <v>43</v>
      </c>
      <c r="I32" t="s">
        <v>134</v>
      </c>
      <c r="J32" t="s">
        <v>134</v>
      </c>
      <c r="K32" t="s">
        <v>179</v>
      </c>
    </row>
    <row r="33" spans="1:26" x14ac:dyDescent="0.2">
      <c r="A33" s="1" t="s">
        <v>42</v>
      </c>
      <c r="B33" t="s">
        <v>297</v>
      </c>
      <c r="C33" t="s">
        <v>10</v>
      </c>
      <c r="D33" t="s">
        <v>10</v>
      </c>
      <c r="G33" t="s">
        <v>45</v>
      </c>
      <c r="I33" t="s">
        <v>134</v>
      </c>
      <c r="K33" t="s">
        <v>178</v>
      </c>
    </row>
    <row r="34" spans="1:26" s="26" customFormat="1" ht="17" x14ac:dyDescent="0.2">
      <c r="A34" s="52" t="s">
        <v>46</v>
      </c>
      <c r="B34" s="26" t="s">
        <v>7</v>
      </c>
      <c r="C34" s="25" t="s">
        <v>6</v>
      </c>
      <c r="D34" s="26" t="s">
        <v>6</v>
      </c>
      <c r="E34" s="25"/>
      <c r="F34" s="25"/>
      <c r="G34" s="26" t="s">
        <v>318</v>
      </c>
      <c r="H34" s="26" t="s">
        <v>49</v>
      </c>
      <c r="I34" s="26" t="s">
        <v>131</v>
      </c>
      <c r="J34" s="26" t="s">
        <v>134</v>
      </c>
      <c r="K34" s="26" t="s">
        <v>178</v>
      </c>
      <c r="L34" s="5" t="s">
        <v>151</v>
      </c>
      <c r="M34" s="26">
        <v>1</v>
      </c>
      <c r="N34" s="6" t="s">
        <v>152</v>
      </c>
      <c r="O34" s="6" t="s">
        <v>153</v>
      </c>
      <c r="P34" s="6" t="s">
        <v>154</v>
      </c>
      <c r="Q34" s="7">
        <v>9.6</v>
      </c>
      <c r="R34" s="9">
        <v>83</v>
      </c>
      <c r="S34" s="15">
        <v>19</v>
      </c>
      <c r="U34" s="28">
        <v>1</v>
      </c>
      <c r="V34" s="28">
        <v>22079</v>
      </c>
      <c r="W34" s="28"/>
      <c r="X34" s="26">
        <v>72</v>
      </c>
      <c r="Y34" s="28">
        <v>83</v>
      </c>
      <c r="Z34" s="26" t="s">
        <v>177</v>
      </c>
    </row>
    <row r="35" spans="1:26" x14ac:dyDescent="0.2">
      <c r="A35" s="53" t="s">
        <v>46</v>
      </c>
      <c r="B35" t="s">
        <v>7</v>
      </c>
      <c r="C35" s="1" t="s">
        <v>6</v>
      </c>
      <c r="E35" s="1"/>
      <c r="F35" s="1"/>
      <c r="G35" t="s">
        <v>319</v>
      </c>
      <c r="H35" t="s">
        <v>48</v>
      </c>
      <c r="I35" t="s">
        <v>134</v>
      </c>
      <c r="J35" t="s">
        <v>131</v>
      </c>
      <c r="K35" t="s">
        <v>179</v>
      </c>
    </row>
    <row r="36" spans="1:26" x14ac:dyDescent="0.2">
      <c r="A36" s="1" t="s">
        <v>46</v>
      </c>
      <c r="B36" t="s">
        <v>11</v>
      </c>
      <c r="C36" t="s">
        <v>10</v>
      </c>
      <c r="D36" t="s">
        <v>10</v>
      </c>
      <c r="E36" s="56">
        <v>9003</v>
      </c>
      <c r="G36" t="s">
        <v>47</v>
      </c>
      <c r="I36" t="s">
        <v>131</v>
      </c>
      <c r="K36" t="s">
        <v>178</v>
      </c>
    </row>
    <row r="37" spans="1:26" s="26" customFormat="1" x14ac:dyDescent="0.2">
      <c r="A37" s="50" t="s">
        <v>50</v>
      </c>
      <c r="B37" s="26" t="s">
        <v>7</v>
      </c>
      <c r="C37" s="26" t="s">
        <v>6</v>
      </c>
      <c r="D37" s="26" t="s">
        <v>6</v>
      </c>
      <c r="G37" s="26" t="s">
        <v>320</v>
      </c>
      <c r="H37" s="26" t="s">
        <v>52</v>
      </c>
      <c r="I37" s="26" t="s">
        <v>131</v>
      </c>
      <c r="J37" s="26" t="s">
        <v>134</v>
      </c>
      <c r="K37" s="26" t="s">
        <v>178</v>
      </c>
    </row>
    <row r="38" spans="1:26" ht="17" x14ac:dyDescent="0.2">
      <c r="A38" s="51" t="s">
        <v>50</v>
      </c>
      <c r="B38" t="s">
        <v>7</v>
      </c>
      <c r="C38" t="s">
        <v>6</v>
      </c>
      <c r="D38" t="s">
        <v>6</v>
      </c>
      <c r="G38" t="s">
        <v>321</v>
      </c>
      <c r="H38" t="s">
        <v>51</v>
      </c>
      <c r="I38" t="s">
        <v>134</v>
      </c>
      <c r="J38" t="s">
        <v>131</v>
      </c>
      <c r="K38" t="s">
        <v>179</v>
      </c>
      <c r="L38" s="5" t="s">
        <v>158</v>
      </c>
      <c r="M38">
        <v>1</v>
      </c>
      <c r="N38" s="6" t="s">
        <v>159</v>
      </c>
      <c r="O38" s="6" t="s">
        <v>155</v>
      </c>
      <c r="P38" s="6" t="s">
        <v>161</v>
      </c>
      <c r="Q38" s="7">
        <v>2.6</v>
      </c>
      <c r="R38" s="9">
        <v>30</v>
      </c>
      <c r="S38" s="9">
        <v>9</v>
      </c>
      <c r="U38" s="19">
        <v>1</v>
      </c>
      <c r="V38" s="19">
        <v>998</v>
      </c>
      <c r="W38" s="19">
        <v>346</v>
      </c>
      <c r="X38">
        <v>62</v>
      </c>
      <c r="Y38" s="19">
        <v>30</v>
      </c>
      <c r="Z38" t="s">
        <v>177</v>
      </c>
    </row>
    <row r="39" spans="1:26" x14ac:dyDescent="0.2">
      <c r="A39" s="45" t="s">
        <v>50</v>
      </c>
      <c r="B39" t="s">
        <v>248</v>
      </c>
      <c r="C39" t="s">
        <v>10</v>
      </c>
      <c r="E39">
        <v>9003</v>
      </c>
      <c r="F39" t="s">
        <v>292</v>
      </c>
      <c r="G39" t="s">
        <v>53</v>
      </c>
      <c r="H39" t="s">
        <v>141</v>
      </c>
      <c r="I39" t="s">
        <v>134</v>
      </c>
      <c r="J39" t="s">
        <v>134</v>
      </c>
      <c r="K39" t="s">
        <v>178</v>
      </c>
    </row>
    <row r="40" spans="1:26" x14ac:dyDescent="0.2">
      <c r="A40" s="45" t="s">
        <v>50</v>
      </c>
      <c r="B40" t="s">
        <v>248</v>
      </c>
      <c r="C40" t="s">
        <v>10</v>
      </c>
      <c r="D40" t="s">
        <v>10</v>
      </c>
      <c r="E40">
        <v>9003</v>
      </c>
      <c r="F40" t="s">
        <v>293</v>
      </c>
      <c r="G40" t="s">
        <v>141</v>
      </c>
      <c r="H40" t="s">
        <v>53</v>
      </c>
      <c r="I40" t="s">
        <v>134</v>
      </c>
      <c r="J40" t="s">
        <v>134</v>
      </c>
      <c r="K40" t="s">
        <v>179</v>
      </c>
    </row>
    <row r="41" spans="1:26" x14ac:dyDescent="0.2">
      <c r="A41" s="1" t="s">
        <v>50</v>
      </c>
      <c r="B41" t="s">
        <v>8</v>
      </c>
      <c r="C41" t="s">
        <v>10</v>
      </c>
      <c r="F41" t="s">
        <v>189</v>
      </c>
      <c r="G41" t="s">
        <v>142</v>
      </c>
      <c r="I41" t="s">
        <v>134</v>
      </c>
      <c r="J41" t="s">
        <v>134</v>
      </c>
      <c r="K41" t="s">
        <v>179</v>
      </c>
    </row>
    <row r="42" spans="1:26" x14ac:dyDescent="0.2">
      <c r="A42" s="23" t="s">
        <v>50</v>
      </c>
      <c r="B42" t="s">
        <v>7</v>
      </c>
      <c r="C42" s="1" t="s">
        <v>10</v>
      </c>
      <c r="D42" t="s">
        <v>10</v>
      </c>
      <c r="E42" s="1">
        <v>9003</v>
      </c>
      <c r="F42" t="s">
        <v>290</v>
      </c>
      <c r="G42" t="s">
        <v>54</v>
      </c>
      <c r="H42" t="s">
        <v>55</v>
      </c>
      <c r="I42" t="s">
        <v>131</v>
      </c>
      <c r="J42" t="s">
        <v>131</v>
      </c>
      <c r="K42" t="s">
        <v>178</v>
      </c>
    </row>
    <row r="43" spans="1:26" x14ac:dyDescent="0.2">
      <c r="A43" s="23" t="s">
        <v>50</v>
      </c>
      <c r="B43" t="s">
        <v>7</v>
      </c>
      <c r="C43" s="1" t="s">
        <v>10</v>
      </c>
      <c r="D43" s="1"/>
      <c r="E43" s="1">
        <v>6796</v>
      </c>
      <c r="F43" s="1" t="s">
        <v>291</v>
      </c>
      <c r="G43" t="s">
        <v>55</v>
      </c>
      <c r="H43" t="s">
        <v>54</v>
      </c>
      <c r="I43" t="s">
        <v>131</v>
      </c>
      <c r="J43" t="s">
        <v>131</v>
      </c>
      <c r="K43" t="s">
        <v>179</v>
      </c>
    </row>
    <row r="44" spans="1:26" s="26" customFormat="1" ht="17" x14ac:dyDescent="0.2">
      <c r="A44" s="26" t="s">
        <v>56</v>
      </c>
      <c r="B44" s="26" t="s">
        <v>11</v>
      </c>
      <c r="C44" s="25" t="s">
        <v>10</v>
      </c>
      <c r="D44" s="25"/>
      <c r="E44" s="25"/>
      <c r="F44" s="25" t="s">
        <v>192</v>
      </c>
      <c r="G44" s="26" t="s">
        <v>190</v>
      </c>
      <c r="H44" s="26" t="s">
        <v>57</v>
      </c>
      <c r="I44" s="26" t="s">
        <v>136</v>
      </c>
      <c r="J44" s="26" t="s">
        <v>136</v>
      </c>
      <c r="K44" s="26" t="s">
        <v>178</v>
      </c>
      <c r="L44" s="5" t="s">
        <v>158</v>
      </c>
      <c r="M44" s="26">
        <v>0</v>
      </c>
      <c r="N44" s="6" t="s">
        <v>152</v>
      </c>
      <c r="O44" s="6" t="s">
        <v>155</v>
      </c>
      <c r="P44" s="6" t="s">
        <v>156</v>
      </c>
      <c r="Q44" s="7">
        <v>11.833333333333334</v>
      </c>
      <c r="R44" s="8">
        <v>210</v>
      </c>
      <c r="S44" s="8">
        <v>42</v>
      </c>
      <c r="U44" s="28" t="s">
        <v>11</v>
      </c>
      <c r="V44" s="28">
        <v>3493</v>
      </c>
      <c r="W44" s="28">
        <v>212</v>
      </c>
      <c r="X44" s="26">
        <v>75</v>
      </c>
      <c r="Y44" s="28">
        <v>210</v>
      </c>
      <c r="Z44" s="26" t="s">
        <v>177</v>
      </c>
    </row>
    <row r="45" spans="1:26" ht="17" x14ac:dyDescent="0.2">
      <c r="A45" s="33" t="s">
        <v>56</v>
      </c>
      <c r="B45" s="26" t="s">
        <v>248</v>
      </c>
      <c r="C45" t="s">
        <v>10</v>
      </c>
      <c r="F45" s="1" t="s">
        <v>280</v>
      </c>
      <c r="G45" s="26" t="s">
        <v>279</v>
      </c>
      <c r="K45" t="s">
        <v>178</v>
      </c>
      <c r="L45" s="10"/>
      <c r="N45" s="11"/>
      <c r="O45" s="11"/>
      <c r="P45" s="11"/>
      <c r="Q45" s="12"/>
      <c r="R45" s="39"/>
      <c r="S45" s="39"/>
      <c r="U45" s="19"/>
      <c r="V45" s="19"/>
      <c r="W45" s="19"/>
      <c r="Y45" s="19"/>
    </row>
    <row r="46" spans="1:26" x14ac:dyDescent="0.2">
      <c r="A46" s="33" t="s">
        <v>56</v>
      </c>
      <c r="B46" t="s">
        <v>248</v>
      </c>
      <c r="C46" s="1" t="s">
        <v>10</v>
      </c>
      <c r="D46" s="1"/>
      <c r="E46" s="1"/>
      <c r="F46" s="1" t="s">
        <v>191</v>
      </c>
      <c r="G46" t="s">
        <v>57</v>
      </c>
      <c r="H46" t="s">
        <v>190</v>
      </c>
      <c r="I46" t="s">
        <v>136</v>
      </c>
      <c r="J46" t="s">
        <v>136</v>
      </c>
      <c r="K46" t="s">
        <v>179</v>
      </c>
    </row>
    <row r="47" spans="1:26" x14ac:dyDescent="0.2">
      <c r="A47" s="33" t="s">
        <v>56</v>
      </c>
      <c r="B47" t="s">
        <v>7</v>
      </c>
      <c r="C47" s="1" t="s">
        <v>10</v>
      </c>
      <c r="D47" s="1"/>
      <c r="E47" s="1"/>
      <c r="F47" s="1" t="s">
        <v>193</v>
      </c>
      <c r="G47" t="s">
        <v>58</v>
      </c>
      <c r="H47" t="s">
        <v>59</v>
      </c>
      <c r="I47" t="s">
        <v>135</v>
      </c>
      <c r="J47" t="s">
        <v>135</v>
      </c>
      <c r="K47" t="s">
        <v>178</v>
      </c>
    </row>
    <row r="48" spans="1:26" x14ac:dyDescent="0.2">
      <c r="A48" s="33" t="s">
        <v>56</v>
      </c>
      <c r="B48" t="s">
        <v>7</v>
      </c>
      <c r="C48" s="1" t="s">
        <v>10</v>
      </c>
      <c r="D48" s="1"/>
      <c r="E48" s="1"/>
      <c r="F48" s="1" t="s">
        <v>194</v>
      </c>
      <c r="G48" t="s">
        <v>59</v>
      </c>
      <c r="H48" t="s">
        <v>58</v>
      </c>
      <c r="I48" t="s">
        <v>135</v>
      </c>
      <c r="J48" t="s">
        <v>135</v>
      </c>
      <c r="K48" t="s">
        <v>179</v>
      </c>
    </row>
    <row r="49" spans="1:26" x14ac:dyDescent="0.2">
      <c r="A49" t="s">
        <v>56</v>
      </c>
      <c r="B49" t="s">
        <v>298</v>
      </c>
      <c r="C49" t="s">
        <v>10</v>
      </c>
      <c r="F49" t="s">
        <v>195</v>
      </c>
      <c r="G49" s="3" t="s">
        <v>60</v>
      </c>
      <c r="I49" t="s">
        <v>134</v>
      </c>
      <c r="K49" t="s">
        <v>178</v>
      </c>
    </row>
    <row r="50" spans="1:26" x14ac:dyDescent="0.2">
      <c r="A50" t="s">
        <v>56</v>
      </c>
      <c r="B50" t="s">
        <v>297</v>
      </c>
      <c r="C50" t="s">
        <v>10</v>
      </c>
      <c r="F50" s="1" t="s">
        <v>196</v>
      </c>
      <c r="G50" t="s">
        <v>61</v>
      </c>
      <c r="I50" t="s">
        <v>131</v>
      </c>
      <c r="K50" t="s">
        <v>178</v>
      </c>
    </row>
    <row r="51" spans="1:26" x14ac:dyDescent="0.2">
      <c r="A51" t="s">
        <v>56</v>
      </c>
      <c r="B51" t="s">
        <v>297</v>
      </c>
      <c r="C51" t="s">
        <v>10</v>
      </c>
      <c r="F51" s="1" t="s">
        <v>197</v>
      </c>
      <c r="G51" s="3" t="s">
        <v>62</v>
      </c>
      <c r="I51" t="s">
        <v>133</v>
      </c>
      <c r="K51" t="s">
        <v>179</v>
      </c>
    </row>
    <row r="52" spans="1:26" s="26" customFormat="1" ht="17" x14ac:dyDescent="0.2">
      <c r="A52" s="38" t="s">
        <v>63</v>
      </c>
      <c r="B52" s="26" t="s">
        <v>7</v>
      </c>
      <c r="C52" s="25" t="s">
        <v>10</v>
      </c>
      <c r="D52" s="25"/>
      <c r="E52" s="25"/>
      <c r="F52" s="25" t="s">
        <v>198</v>
      </c>
      <c r="G52" s="26" t="s">
        <v>64</v>
      </c>
      <c r="H52" t="s">
        <v>277</v>
      </c>
      <c r="I52" s="26" t="s">
        <v>133</v>
      </c>
      <c r="J52" s="26" t="s">
        <v>133</v>
      </c>
      <c r="K52" s="26" t="s">
        <v>178</v>
      </c>
      <c r="L52" s="5" t="s">
        <v>158</v>
      </c>
      <c r="M52" s="26">
        <v>1</v>
      </c>
      <c r="N52" s="6" t="s">
        <v>152</v>
      </c>
      <c r="O52" s="6" t="s">
        <v>155</v>
      </c>
      <c r="P52" s="6" t="s">
        <v>154</v>
      </c>
      <c r="Q52" s="7">
        <v>12.833333333333334</v>
      </c>
      <c r="R52" s="9">
        <v>203</v>
      </c>
      <c r="S52" s="9">
        <v>14</v>
      </c>
      <c r="U52" s="28">
        <v>2</v>
      </c>
      <c r="V52" s="28">
        <v>411</v>
      </c>
      <c r="W52" s="28">
        <v>15</v>
      </c>
      <c r="X52" s="26">
        <v>68</v>
      </c>
      <c r="Y52" s="28">
        <v>203</v>
      </c>
      <c r="Z52" s="26" t="s">
        <v>177</v>
      </c>
    </row>
    <row r="53" spans="1:26" ht="17" x14ac:dyDescent="0.2">
      <c r="A53" s="33" t="s">
        <v>63</v>
      </c>
      <c r="B53" t="s">
        <v>7</v>
      </c>
      <c r="C53" s="1" t="s">
        <v>10</v>
      </c>
      <c r="D53" s="1"/>
      <c r="E53" s="1"/>
      <c r="F53" s="1" t="s">
        <v>276</v>
      </c>
      <c r="G53" t="s">
        <v>277</v>
      </c>
      <c r="H53" s="26" t="s">
        <v>64</v>
      </c>
      <c r="K53" t="s">
        <v>179</v>
      </c>
      <c r="L53" s="10"/>
      <c r="N53" s="11"/>
      <c r="O53" s="11"/>
      <c r="P53" s="11"/>
      <c r="Q53" s="12"/>
      <c r="R53" s="13"/>
      <c r="S53" s="13"/>
      <c r="U53" s="19"/>
      <c r="V53" s="19"/>
      <c r="W53" s="19"/>
      <c r="Y53" s="19"/>
    </row>
    <row r="54" spans="1:26" x14ac:dyDescent="0.2">
      <c r="A54" t="s">
        <v>63</v>
      </c>
      <c r="B54" t="s">
        <v>8</v>
      </c>
      <c r="C54" t="s">
        <v>10</v>
      </c>
      <c r="F54" t="s">
        <v>216</v>
      </c>
      <c r="G54" t="s">
        <v>278</v>
      </c>
      <c r="I54" t="s">
        <v>133</v>
      </c>
      <c r="J54" t="s">
        <v>133</v>
      </c>
      <c r="K54" t="s">
        <v>179</v>
      </c>
    </row>
    <row r="55" spans="1:26" x14ac:dyDescent="0.2">
      <c r="A55" s="33" t="s">
        <v>63</v>
      </c>
      <c r="B55" t="s">
        <v>248</v>
      </c>
      <c r="C55" s="1" t="s">
        <v>10</v>
      </c>
      <c r="D55" s="1"/>
      <c r="E55" s="1"/>
      <c r="F55" s="1" t="s">
        <v>199</v>
      </c>
      <c r="G55" s="3" t="s">
        <v>65</v>
      </c>
      <c r="H55" s="3" t="s">
        <v>66</v>
      </c>
      <c r="I55" t="s">
        <v>134</v>
      </c>
      <c r="J55" t="s">
        <v>134</v>
      </c>
      <c r="K55" t="s">
        <v>178</v>
      </c>
    </row>
    <row r="56" spans="1:26" x14ac:dyDescent="0.2">
      <c r="A56" s="33" t="s">
        <v>63</v>
      </c>
      <c r="B56" t="s">
        <v>248</v>
      </c>
      <c r="C56" s="1" t="s">
        <v>10</v>
      </c>
      <c r="D56" s="1"/>
      <c r="E56" s="1"/>
      <c r="F56" s="1" t="s">
        <v>200</v>
      </c>
      <c r="G56" s="3" t="s">
        <v>66</v>
      </c>
      <c r="H56" s="3" t="s">
        <v>65</v>
      </c>
      <c r="I56" t="s">
        <v>134</v>
      </c>
      <c r="J56" t="s">
        <v>134</v>
      </c>
      <c r="K56" t="s">
        <v>179</v>
      </c>
    </row>
    <row r="57" spans="1:26" x14ac:dyDescent="0.2">
      <c r="A57" t="s">
        <v>63</v>
      </c>
      <c r="B57" t="s">
        <v>297</v>
      </c>
      <c r="C57" t="s">
        <v>10</v>
      </c>
      <c r="F57" s="1" t="s">
        <v>201</v>
      </c>
      <c r="G57" t="s">
        <v>67</v>
      </c>
      <c r="I57" t="s">
        <v>131</v>
      </c>
      <c r="K57" t="s">
        <v>178</v>
      </c>
    </row>
    <row r="58" spans="1:26" x14ac:dyDescent="0.2">
      <c r="A58" t="s">
        <v>63</v>
      </c>
      <c r="B58" t="s">
        <v>297</v>
      </c>
      <c r="C58" t="s">
        <v>10</v>
      </c>
      <c r="F58" s="1" t="s">
        <v>202</v>
      </c>
      <c r="G58" t="s">
        <v>68</v>
      </c>
      <c r="I58" t="s">
        <v>135</v>
      </c>
      <c r="K58" t="s">
        <v>179</v>
      </c>
    </row>
    <row r="59" spans="1:26" x14ac:dyDescent="0.2">
      <c r="A59" t="s">
        <v>63</v>
      </c>
      <c r="B59" t="s">
        <v>298</v>
      </c>
      <c r="C59" t="s">
        <v>10</v>
      </c>
      <c r="F59" s="1" t="s">
        <v>203</v>
      </c>
      <c r="G59" t="s">
        <v>69</v>
      </c>
      <c r="I59" t="s">
        <v>138</v>
      </c>
      <c r="K59" t="s">
        <v>179</v>
      </c>
    </row>
    <row r="60" spans="1:26" s="26" customFormat="1" ht="17" x14ac:dyDescent="0.2">
      <c r="A60" s="38" t="s">
        <v>70</v>
      </c>
      <c r="B60" s="26" t="s">
        <v>7</v>
      </c>
      <c r="C60" s="26" t="s">
        <v>10</v>
      </c>
      <c r="F60" s="25" t="s">
        <v>264</v>
      </c>
      <c r="G60" s="26" t="s">
        <v>262</v>
      </c>
      <c r="H60" t="s">
        <v>268</v>
      </c>
      <c r="I60" s="26" t="s">
        <v>134</v>
      </c>
      <c r="J60" s="26" t="s">
        <v>134</v>
      </c>
      <c r="K60" s="26" t="s">
        <v>178</v>
      </c>
      <c r="L60" s="5" t="s">
        <v>158</v>
      </c>
      <c r="M60" s="26">
        <v>1</v>
      </c>
      <c r="N60" s="6" t="s">
        <v>152</v>
      </c>
      <c r="O60" s="6" t="s">
        <v>155</v>
      </c>
      <c r="P60" s="6" t="s">
        <v>156</v>
      </c>
      <c r="Q60" s="7">
        <v>37.6</v>
      </c>
      <c r="R60" s="8">
        <v>974</v>
      </c>
      <c r="S60" s="15">
        <v>54</v>
      </c>
      <c r="U60" s="28">
        <v>2</v>
      </c>
      <c r="V60" s="28">
        <v>2633</v>
      </c>
      <c r="W60" s="28">
        <v>38</v>
      </c>
      <c r="X60" s="26">
        <v>71</v>
      </c>
      <c r="Y60" s="28">
        <v>974</v>
      </c>
      <c r="Z60" s="26" t="s">
        <v>177</v>
      </c>
    </row>
    <row r="61" spans="1:26" ht="17" x14ac:dyDescent="0.2">
      <c r="A61" t="s">
        <v>70</v>
      </c>
      <c r="B61" t="s">
        <v>8</v>
      </c>
      <c r="C61" t="s">
        <v>10</v>
      </c>
      <c r="F61" t="s">
        <v>261</v>
      </c>
      <c r="G61" t="s">
        <v>263</v>
      </c>
      <c r="L61" s="10"/>
      <c r="N61" s="11"/>
      <c r="O61" s="11"/>
      <c r="P61" s="11"/>
      <c r="Q61" s="12"/>
      <c r="R61" s="39"/>
      <c r="S61" s="40"/>
      <c r="U61" s="19"/>
      <c r="V61" s="19"/>
      <c r="W61" s="19"/>
      <c r="Y61" s="19"/>
    </row>
    <row r="62" spans="1:26" ht="17" x14ac:dyDescent="0.2">
      <c r="A62" t="s">
        <v>70</v>
      </c>
      <c r="B62" t="s">
        <v>8</v>
      </c>
      <c r="C62" t="s">
        <v>10</v>
      </c>
      <c r="F62" t="s">
        <v>265</v>
      </c>
      <c r="G62" t="s">
        <v>269</v>
      </c>
      <c r="L62" s="10"/>
      <c r="N62" s="11"/>
      <c r="O62" s="11"/>
      <c r="P62" s="11"/>
      <c r="Q62" s="12"/>
      <c r="R62" s="39"/>
      <c r="S62" s="40"/>
      <c r="U62" s="19"/>
      <c r="V62" s="19"/>
      <c r="W62" s="19"/>
      <c r="Y62" s="19"/>
    </row>
    <row r="63" spans="1:26" ht="17" x14ac:dyDescent="0.2">
      <c r="A63" t="s">
        <v>70</v>
      </c>
      <c r="B63" t="s">
        <v>8</v>
      </c>
      <c r="C63" t="s">
        <v>10</v>
      </c>
      <c r="F63" t="s">
        <v>266</v>
      </c>
      <c r="G63" t="s">
        <v>267</v>
      </c>
      <c r="L63" s="10"/>
      <c r="N63" s="11"/>
      <c r="O63" s="11"/>
      <c r="P63" s="11"/>
      <c r="Q63" s="12"/>
      <c r="R63" s="39"/>
      <c r="S63" s="40"/>
      <c r="U63" s="19"/>
      <c r="V63" s="19"/>
      <c r="W63" s="19"/>
      <c r="Y63" s="19"/>
    </row>
    <row r="64" spans="1:26" ht="17" x14ac:dyDescent="0.2">
      <c r="A64" s="33" t="s">
        <v>70</v>
      </c>
      <c r="B64" t="s">
        <v>7</v>
      </c>
      <c r="C64" t="s">
        <v>10</v>
      </c>
      <c r="F64" s="1" t="s">
        <v>270</v>
      </c>
      <c r="G64" t="s">
        <v>268</v>
      </c>
      <c r="H64" s="26" t="s">
        <v>262</v>
      </c>
      <c r="I64" t="s">
        <v>134</v>
      </c>
      <c r="J64" t="s">
        <v>134</v>
      </c>
      <c r="K64" t="s">
        <v>179</v>
      </c>
      <c r="L64" s="10"/>
      <c r="N64" s="11"/>
      <c r="O64" s="11"/>
      <c r="P64" s="11"/>
      <c r="Q64" s="12"/>
      <c r="R64" s="39"/>
      <c r="S64" s="40"/>
      <c r="U64" s="19"/>
      <c r="V64" s="19"/>
      <c r="W64" s="19"/>
      <c r="Y64" s="19"/>
    </row>
    <row r="65" spans="1:26" x14ac:dyDescent="0.2">
      <c r="A65" t="s">
        <v>70</v>
      </c>
      <c r="B65" t="s">
        <v>297</v>
      </c>
      <c r="C65" t="s">
        <v>10</v>
      </c>
      <c r="F65" t="s">
        <v>271</v>
      </c>
      <c r="G65" t="s">
        <v>272</v>
      </c>
      <c r="K65" t="s">
        <v>179</v>
      </c>
    </row>
    <row r="66" spans="1:26" x14ac:dyDescent="0.2">
      <c r="A66" t="s">
        <v>70</v>
      </c>
      <c r="B66" t="s">
        <v>8</v>
      </c>
      <c r="C66" t="s">
        <v>10</v>
      </c>
      <c r="F66" t="s">
        <v>224</v>
      </c>
      <c r="G66" t="s">
        <v>274</v>
      </c>
    </row>
    <row r="67" spans="1:26" x14ac:dyDescent="0.2">
      <c r="A67" t="s">
        <v>70</v>
      </c>
      <c r="B67" t="s">
        <v>8</v>
      </c>
      <c r="C67" t="s">
        <v>10</v>
      </c>
      <c r="F67" t="s">
        <v>275</v>
      </c>
      <c r="G67" t="s">
        <v>273</v>
      </c>
      <c r="I67" t="s">
        <v>133</v>
      </c>
      <c r="K67" t="s">
        <v>179</v>
      </c>
    </row>
    <row r="68" spans="1:26" s="26" customFormat="1" ht="17" x14ac:dyDescent="0.2">
      <c r="A68" s="38" t="s">
        <v>71</v>
      </c>
      <c r="B68" s="26" t="s">
        <v>7</v>
      </c>
      <c r="C68" s="25" t="s">
        <v>10</v>
      </c>
      <c r="D68" s="25"/>
      <c r="E68" s="25"/>
      <c r="F68" s="25" t="s">
        <v>204</v>
      </c>
      <c r="G68" s="26" t="s">
        <v>72</v>
      </c>
      <c r="H68" s="26" t="s">
        <v>73</v>
      </c>
      <c r="I68" s="26" t="s">
        <v>134</v>
      </c>
      <c r="J68" s="26" t="s">
        <v>134</v>
      </c>
      <c r="K68" s="26" t="s">
        <v>178</v>
      </c>
      <c r="L68" s="5" t="s">
        <v>158</v>
      </c>
      <c r="M68" s="26">
        <v>1</v>
      </c>
      <c r="N68" s="6" t="s">
        <v>160</v>
      </c>
      <c r="O68" s="6" t="s">
        <v>155</v>
      </c>
      <c r="P68" s="6" t="s">
        <v>157</v>
      </c>
      <c r="Q68" s="7">
        <v>4.166666666666667</v>
      </c>
      <c r="R68" s="9">
        <v>0</v>
      </c>
      <c r="S68" s="9">
        <v>12</v>
      </c>
      <c r="U68" s="28">
        <v>2</v>
      </c>
      <c r="V68" s="28">
        <v>553</v>
      </c>
      <c r="W68" s="28">
        <v>55</v>
      </c>
      <c r="X68" s="26">
        <v>72</v>
      </c>
      <c r="Y68" s="28">
        <v>0</v>
      </c>
      <c r="Z68" s="26" t="s">
        <v>177</v>
      </c>
    </row>
    <row r="69" spans="1:26" x14ac:dyDescent="0.2">
      <c r="A69" s="33" t="s">
        <v>71</v>
      </c>
      <c r="B69" t="s">
        <v>7</v>
      </c>
      <c r="C69" s="1" t="s">
        <v>10</v>
      </c>
      <c r="D69" s="1"/>
      <c r="E69" s="1"/>
      <c r="F69" s="1" t="s">
        <v>205</v>
      </c>
      <c r="G69" t="s">
        <v>73</v>
      </c>
      <c r="H69" t="s">
        <v>72</v>
      </c>
      <c r="I69" t="s">
        <v>134</v>
      </c>
      <c r="J69" t="s">
        <v>134</v>
      </c>
      <c r="K69" t="s">
        <v>179</v>
      </c>
    </row>
    <row r="70" spans="1:26" x14ac:dyDescent="0.2">
      <c r="A70" t="s">
        <v>71</v>
      </c>
      <c r="B70" t="s">
        <v>297</v>
      </c>
      <c r="C70" t="s">
        <v>10</v>
      </c>
      <c r="F70" t="s">
        <v>253</v>
      </c>
      <c r="G70" t="s">
        <v>254</v>
      </c>
      <c r="K70" t="s">
        <v>178</v>
      </c>
    </row>
    <row r="71" spans="1:26" x14ac:dyDescent="0.2">
      <c r="A71" t="s">
        <v>71</v>
      </c>
      <c r="B71" t="s">
        <v>8</v>
      </c>
      <c r="C71" t="s">
        <v>10</v>
      </c>
      <c r="F71" t="s">
        <v>256</v>
      </c>
      <c r="G71" t="s">
        <v>255</v>
      </c>
      <c r="I71" t="s">
        <v>131</v>
      </c>
      <c r="K71" t="s">
        <v>178</v>
      </c>
    </row>
    <row r="72" spans="1:26" x14ac:dyDescent="0.2">
      <c r="A72" t="s">
        <v>71</v>
      </c>
      <c r="B72" t="s">
        <v>8</v>
      </c>
      <c r="C72" t="s">
        <v>10</v>
      </c>
      <c r="F72" t="s">
        <v>257</v>
      </c>
      <c r="G72" t="s">
        <v>259</v>
      </c>
    </row>
    <row r="73" spans="1:26" x14ac:dyDescent="0.2">
      <c r="A73" s="31" t="s">
        <v>71</v>
      </c>
      <c r="B73" t="s">
        <v>248</v>
      </c>
      <c r="C73" s="1" t="s">
        <v>10</v>
      </c>
      <c r="D73" s="1"/>
      <c r="F73" t="s">
        <v>258</v>
      </c>
      <c r="G73" t="s">
        <v>260</v>
      </c>
      <c r="I73" t="s">
        <v>137</v>
      </c>
      <c r="K73" t="s">
        <v>178</v>
      </c>
    </row>
    <row r="74" spans="1:26" x14ac:dyDescent="0.2">
      <c r="A74" s="31" t="s">
        <v>71</v>
      </c>
      <c r="B74" t="s">
        <v>248</v>
      </c>
      <c r="C74" s="1" t="s">
        <v>10</v>
      </c>
      <c r="D74" s="1"/>
      <c r="F74" t="s">
        <v>206</v>
      </c>
      <c r="G74" t="s">
        <v>74</v>
      </c>
      <c r="I74" t="s">
        <v>135</v>
      </c>
      <c r="K74" t="s">
        <v>179</v>
      </c>
    </row>
    <row r="75" spans="1:26" x14ac:dyDescent="0.2">
      <c r="A75" t="s">
        <v>71</v>
      </c>
      <c r="B75" t="s">
        <v>297</v>
      </c>
      <c r="C75" t="s">
        <v>10</v>
      </c>
      <c r="F75" t="s">
        <v>195</v>
      </c>
      <c r="G75" t="s">
        <v>75</v>
      </c>
      <c r="I75" t="s">
        <v>138</v>
      </c>
      <c r="K75" t="s">
        <v>179</v>
      </c>
    </row>
    <row r="76" spans="1:26" x14ac:dyDescent="0.2">
      <c r="A76" t="s">
        <v>71</v>
      </c>
      <c r="B76" t="s">
        <v>298</v>
      </c>
      <c r="C76" t="s">
        <v>10</v>
      </c>
      <c r="F76" t="s">
        <v>207</v>
      </c>
      <c r="G76" t="s">
        <v>76</v>
      </c>
      <c r="I76" t="s">
        <v>136</v>
      </c>
      <c r="K76" t="s">
        <v>179</v>
      </c>
    </row>
    <row r="77" spans="1:26" s="26" customFormat="1" ht="17" x14ac:dyDescent="0.2">
      <c r="A77" s="32" t="s">
        <v>77</v>
      </c>
      <c r="B77" s="26" t="s">
        <v>7</v>
      </c>
      <c r="C77" s="25" t="s">
        <v>10</v>
      </c>
      <c r="D77" s="25"/>
      <c r="E77" s="25"/>
      <c r="F77" s="25" t="s">
        <v>196</v>
      </c>
      <c r="G77" s="26" t="s">
        <v>78</v>
      </c>
      <c r="H77" s="29" t="s">
        <v>79</v>
      </c>
      <c r="I77" s="26" t="s">
        <v>134</v>
      </c>
      <c r="J77" s="26" t="s">
        <v>134</v>
      </c>
      <c r="K77" s="26" t="s">
        <v>178</v>
      </c>
      <c r="L77" s="5" t="s">
        <v>158</v>
      </c>
      <c r="M77" s="26">
        <v>1</v>
      </c>
      <c r="N77" s="6" t="s">
        <v>160</v>
      </c>
      <c r="O77" s="6" t="s">
        <v>155</v>
      </c>
      <c r="P77" s="6" t="s">
        <v>156</v>
      </c>
      <c r="Q77" s="7">
        <v>15.1</v>
      </c>
      <c r="R77" s="9">
        <v>280</v>
      </c>
      <c r="S77" s="9"/>
      <c r="U77" s="28">
        <v>1</v>
      </c>
      <c r="V77" s="28">
        <v>615</v>
      </c>
      <c r="W77" s="28">
        <v>20</v>
      </c>
      <c r="X77" s="26">
        <v>67</v>
      </c>
      <c r="Y77" s="28">
        <v>280</v>
      </c>
      <c r="Z77" s="26" t="s">
        <v>177</v>
      </c>
    </row>
    <row r="78" spans="1:26" x14ac:dyDescent="0.2">
      <c r="A78" s="23" t="s">
        <v>77</v>
      </c>
      <c r="B78" t="s">
        <v>7</v>
      </c>
      <c r="C78" s="1" t="s">
        <v>10</v>
      </c>
      <c r="D78" s="1"/>
      <c r="E78" s="1"/>
      <c r="F78" s="1" t="s">
        <v>208</v>
      </c>
      <c r="G78" t="s">
        <v>79</v>
      </c>
      <c r="H78" t="s">
        <v>78</v>
      </c>
      <c r="I78" t="s">
        <v>134</v>
      </c>
      <c r="J78" t="s">
        <v>134</v>
      </c>
      <c r="K78" t="s">
        <v>179</v>
      </c>
    </row>
    <row r="79" spans="1:26" s="26" customFormat="1" ht="17" x14ac:dyDescent="0.2">
      <c r="A79" s="30" t="s">
        <v>80</v>
      </c>
      <c r="B79" s="26" t="s">
        <v>7</v>
      </c>
      <c r="C79" s="25" t="s">
        <v>10</v>
      </c>
      <c r="D79" s="25"/>
      <c r="E79" s="25"/>
      <c r="F79" s="25" t="s">
        <v>209</v>
      </c>
      <c r="G79" s="26" t="s">
        <v>81</v>
      </c>
      <c r="H79" s="26" t="s">
        <v>82</v>
      </c>
      <c r="I79" s="26" t="s">
        <v>134</v>
      </c>
      <c r="J79" s="26" t="s">
        <v>135</v>
      </c>
      <c r="K79" s="26" t="s">
        <v>178</v>
      </c>
      <c r="L79" s="5" t="s">
        <v>158</v>
      </c>
      <c r="M79" s="26">
        <v>1</v>
      </c>
      <c r="N79" s="6" t="s">
        <v>160</v>
      </c>
      <c r="O79" s="6" t="s">
        <v>162</v>
      </c>
      <c r="P79" s="6" t="s">
        <v>156</v>
      </c>
      <c r="Q79" s="14"/>
      <c r="R79" s="9">
        <v>721</v>
      </c>
      <c r="S79" s="9">
        <v>29</v>
      </c>
      <c r="U79" s="28">
        <v>2</v>
      </c>
      <c r="V79" s="28">
        <v>854</v>
      </c>
      <c r="W79" s="28">
        <v>20</v>
      </c>
      <c r="X79" s="26">
        <v>81</v>
      </c>
      <c r="Y79" s="28">
        <v>721</v>
      </c>
      <c r="Z79" s="26" t="s">
        <v>177</v>
      </c>
    </row>
    <row r="80" spans="1:26" x14ac:dyDescent="0.2">
      <c r="A80" s="31" t="s">
        <v>80</v>
      </c>
      <c r="B80" t="s">
        <v>7</v>
      </c>
      <c r="C80" s="1" t="s">
        <v>10</v>
      </c>
      <c r="D80" s="1"/>
      <c r="E80" s="1"/>
      <c r="F80" s="1" t="s">
        <v>210</v>
      </c>
      <c r="G80" t="s">
        <v>82</v>
      </c>
      <c r="H80" s="2" t="s">
        <v>81</v>
      </c>
      <c r="I80" t="s">
        <v>135</v>
      </c>
      <c r="J80" t="s">
        <v>134</v>
      </c>
      <c r="K80" t="s">
        <v>179</v>
      </c>
    </row>
    <row r="81" spans="1:26" s="26" customFormat="1" ht="17" x14ac:dyDescent="0.2">
      <c r="A81" s="26" t="s">
        <v>83</v>
      </c>
      <c r="B81" s="26" t="s">
        <v>297</v>
      </c>
      <c r="C81" s="26" t="s">
        <v>10</v>
      </c>
      <c r="F81" s="26" t="s">
        <v>211</v>
      </c>
      <c r="G81" s="26" t="s">
        <v>84</v>
      </c>
      <c r="I81" s="26" t="s">
        <v>138</v>
      </c>
      <c r="K81" s="26" t="s">
        <v>178</v>
      </c>
      <c r="L81" s="5" t="s">
        <v>151</v>
      </c>
      <c r="M81" s="26">
        <v>1</v>
      </c>
      <c r="N81" s="6" t="s">
        <v>163</v>
      </c>
      <c r="O81" s="6" t="s">
        <v>155</v>
      </c>
      <c r="P81" s="6" t="s">
        <v>154</v>
      </c>
      <c r="Q81" s="7">
        <v>14.2</v>
      </c>
      <c r="R81" s="8">
        <v>210</v>
      </c>
      <c r="S81" s="15">
        <v>39.799999999999997</v>
      </c>
      <c r="U81" s="28">
        <v>3</v>
      </c>
      <c r="V81" s="28">
        <v>192</v>
      </c>
      <c r="W81" s="28">
        <v>70</v>
      </c>
      <c r="X81" s="26">
        <v>57</v>
      </c>
      <c r="Y81" s="28">
        <v>210</v>
      </c>
      <c r="Z81" s="26" t="s">
        <v>177</v>
      </c>
    </row>
    <row r="82" spans="1:26" x14ac:dyDescent="0.2">
      <c r="A82" s="24" t="s">
        <v>83</v>
      </c>
      <c r="B82" t="s">
        <v>7</v>
      </c>
      <c r="C82" s="1" t="s">
        <v>10</v>
      </c>
      <c r="D82" s="1"/>
      <c r="E82" s="1"/>
      <c r="F82" s="1" t="s">
        <v>201</v>
      </c>
      <c r="G82" t="s">
        <v>85</v>
      </c>
      <c r="I82" t="s">
        <v>134</v>
      </c>
      <c r="K82" t="s">
        <v>179</v>
      </c>
    </row>
    <row r="83" spans="1:26" x14ac:dyDescent="0.2">
      <c r="A83" t="s">
        <v>83</v>
      </c>
      <c r="B83" t="s">
        <v>8</v>
      </c>
      <c r="C83" t="s">
        <v>10</v>
      </c>
      <c r="F83" t="s">
        <v>249</v>
      </c>
      <c r="G83" t="s">
        <v>251</v>
      </c>
      <c r="I83" t="s">
        <v>133</v>
      </c>
      <c r="K83" t="s">
        <v>178</v>
      </c>
    </row>
    <row r="84" spans="1:26" x14ac:dyDescent="0.2">
      <c r="A84" s="24" t="s">
        <v>83</v>
      </c>
      <c r="B84" t="s">
        <v>7</v>
      </c>
      <c r="C84" t="s">
        <v>10</v>
      </c>
      <c r="F84" s="1" t="s">
        <v>250</v>
      </c>
      <c r="G84" t="s">
        <v>252</v>
      </c>
      <c r="I84" t="s">
        <v>133</v>
      </c>
      <c r="K84" t="s">
        <v>178</v>
      </c>
    </row>
    <row r="85" spans="1:26" s="26" customFormat="1" ht="17" x14ac:dyDescent="0.2">
      <c r="A85" s="30" t="s">
        <v>86</v>
      </c>
      <c r="B85" s="26" t="s">
        <v>7</v>
      </c>
      <c r="C85" s="26" t="s">
        <v>10</v>
      </c>
      <c r="F85" s="25" t="s">
        <v>245</v>
      </c>
      <c r="G85" s="26" t="s">
        <v>87</v>
      </c>
      <c r="H85" s="26" t="s">
        <v>88</v>
      </c>
      <c r="I85" s="26" t="s">
        <v>139</v>
      </c>
      <c r="J85" s="26" t="s">
        <v>140</v>
      </c>
      <c r="K85" s="26" t="s">
        <v>178</v>
      </c>
      <c r="L85" s="34" t="s">
        <v>164</v>
      </c>
      <c r="M85" s="26">
        <v>1</v>
      </c>
      <c r="N85" s="35" t="s">
        <v>160</v>
      </c>
      <c r="O85" s="35" t="s">
        <v>153</v>
      </c>
      <c r="P85" s="35" t="s">
        <v>157</v>
      </c>
      <c r="Q85" s="36">
        <v>6.9333333333333336</v>
      </c>
      <c r="R85" s="37">
        <v>27</v>
      </c>
      <c r="S85" s="37">
        <v>13</v>
      </c>
      <c r="U85" s="28">
        <v>3</v>
      </c>
      <c r="V85" s="28">
        <v>149</v>
      </c>
      <c r="W85" s="28">
        <v>22</v>
      </c>
      <c r="X85" s="26">
        <v>71</v>
      </c>
      <c r="Y85" s="28">
        <v>27</v>
      </c>
      <c r="Z85" s="26" t="s">
        <v>177</v>
      </c>
    </row>
    <row r="86" spans="1:26" x14ac:dyDescent="0.2">
      <c r="A86" s="47" t="s">
        <v>86</v>
      </c>
      <c r="B86" t="s">
        <v>7</v>
      </c>
      <c r="C86" t="s">
        <v>10</v>
      </c>
      <c r="E86" s="1">
        <v>9113</v>
      </c>
      <c r="F86" t="s">
        <v>247</v>
      </c>
      <c r="G86" t="s">
        <v>88</v>
      </c>
      <c r="H86" t="s">
        <v>87</v>
      </c>
      <c r="I86" t="s">
        <v>140</v>
      </c>
      <c r="J86" t="s">
        <v>139</v>
      </c>
      <c r="K86" t="s">
        <v>179</v>
      </c>
    </row>
    <row r="87" spans="1:26" x14ac:dyDescent="0.2">
      <c r="A87" s="2" t="s">
        <v>86</v>
      </c>
      <c r="B87" t="s">
        <v>297</v>
      </c>
      <c r="C87" t="s">
        <v>10</v>
      </c>
      <c r="E87">
        <v>9113</v>
      </c>
      <c r="F87" s="1" t="s">
        <v>246</v>
      </c>
      <c r="G87" t="s">
        <v>212</v>
      </c>
      <c r="K87" t="s">
        <v>178</v>
      </c>
    </row>
    <row r="88" spans="1:26" s="26" customFormat="1" x14ac:dyDescent="0.2">
      <c r="A88" s="30" t="s">
        <v>89</v>
      </c>
      <c r="B88" s="26" t="s">
        <v>248</v>
      </c>
      <c r="C88" s="26" t="s">
        <v>10</v>
      </c>
      <c r="F88" s="26" t="s">
        <v>213</v>
      </c>
      <c r="G88" s="26" t="s">
        <v>90</v>
      </c>
      <c r="H88" t="s">
        <v>92</v>
      </c>
      <c r="I88" s="26" t="s">
        <v>131</v>
      </c>
      <c r="K88" s="26" t="s">
        <v>178</v>
      </c>
      <c r="L88" s="5" t="s">
        <v>164</v>
      </c>
      <c r="M88" s="26">
        <v>1</v>
      </c>
      <c r="N88" s="6" t="s">
        <v>152</v>
      </c>
      <c r="O88" s="6" t="s">
        <v>155</v>
      </c>
      <c r="P88" s="6" t="s">
        <v>154</v>
      </c>
      <c r="Q88" s="7">
        <v>22.3333333333333</v>
      </c>
      <c r="R88" s="9">
        <v>511</v>
      </c>
      <c r="S88" s="9">
        <v>35</v>
      </c>
      <c r="Y88" s="26">
        <v>511</v>
      </c>
      <c r="Z88" s="26" t="s">
        <v>175</v>
      </c>
    </row>
    <row r="89" spans="1:26" x14ac:dyDescent="0.2">
      <c r="A89" s="33" t="s">
        <v>89</v>
      </c>
      <c r="B89" t="s">
        <v>7</v>
      </c>
      <c r="C89" s="1" t="s">
        <v>10</v>
      </c>
      <c r="D89" s="1"/>
      <c r="E89" s="1"/>
      <c r="F89" s="1" t="s">
        <v>215</v>
      </c>
      <c r="G89" s="21" t="s">
        <v>214</v>
      </c>
      <c r="H89" t="s">
        <v>91</v>
      </c>
      <c r="I89" t="s">
        <v>134</v>
      </c>
      <c r="K89" t="s">
        <v>178</v>
      </c>
      <c r="L89" s="10"/>
      <c r="N89" s="11"/>
      <c r="O89" s="11"/>
      <c r="P89" s="11"/>
      <c r="Q89" s="12"/>
      <c r="R89" s="13"/>
      <c r="S89" s="13"/>
    </row>
    <row r="90" spans="1:26" x14ac:dyDescent="0.2">
      <c r="A90" s="33" t="s">
        <v>89</v>
      </c>
      <c r="B90" t="s">
        <v>7</v>
      </c>
      <c r="C90" s="1" t="s">
        <v>10</v>
      </c>
      <c r="D90" s="1"/>
      <c r="E90" s="1"/>
      <c r="F90" s="1" t="s">
        <v>216</v>
      </c>
      <c r="G90" t="s">
        <v>91</v>
      </c>
      <c r="H90" s="21" t="s">
        <v>214</v>
      </c>
      <c r="I90" t="s">
        <v>134</v>
      </c>
      <c r="K90" t="s">
        <v>179</v>
      </c>
    </row>
    <row r="91" spans="1:26" x14ac:dyDescent="0.2">
      <c r="A91" s="31" t="s">
        <v>89</v>
      </c>
      <c r="B91" t="s">
        <v>248</v>
      </c>
      <c r="C91" t="s">
        <v>10</v>
      </c>
      <c r="F91" t="s">
        <v>217</v>
      </c>
      <c r="G91" t="s">
        <v>92</v>
      </c>
      <c r="H91" s="26" t="s">
        <v>90</v>
      </c>
      <c r="I91" t="s">
        <v>137</v>
      </c>
      <c r="K91" t="s">
        <v>179</v>
      </c>
    </row>
    <row r="92" spans="1:26" s="26" customFormat="1" ht="17" x14ac:dyDescent="0.2">
      <c r="A92" s="30" t="s">
        <v>93</v>
      </c>
      <c r="B92" s="26" t="s">
        <v>7</v>
      </c>
      <c r="C92" s="25" t="s">
        <v>10</v>
      </c>
      <c r="D92" s="25"/>
      <c r="E92" s="25"/>
      <c r="F92" s="25" t="s">
        <v>218</v>
      </c>
      <c r="G92" s="26" t="s">
        <v>95</v>
      </c>
      <c r="H92" t="s">
        <v>243</v>
      </c>
      <c r="I92" s="26" t="s">
        <v>131</v>
      </c>
      <c r="J92" s="26" t="s">
        <v>244</v>
      </c>
      <c r="K92" s="26" t="s">
        <v>178</v>
      </c>
      <c r="L92" s="5" t="s">
        <v>158</v>
      </c>
      <c r="M92" s="26">
        <v>1</v>
      </c>
      <c r="N92" s="6" t="s">
        <v>160</v>
      </c>
      <c r="O92" s="6" t="s">
        <v>155</v>
      </c>
      <c r="P92" s="6" t="s">
        <v>156</v>
      </c>
      <c r="Q92" s="7">
        <v>7.8666666666666671</v>
      </c>
      <c r="R92" s="9">
        <v>81</v>
      </c>
      <c r="S92" s="9">
        <v>31</v>
      </c>
      <c r="U92" s="28">
        <v>2</v>
      </c>
      <c r="V92" s="28">
        <v>1593</v>
      </c>
      <c r="W92" s="28">
        <v>11</v>
      </c>
      <c r="X92" s="26">
        <v>68</v>
      </c>
      <c r="Y92" s="28">
        <v>81</v>
      </c>
      <c r="Z92" s="26" t="s">
        <v>177</v>
      </c>
    </row>
    <row r="93" spans="1:26" x14ac:dyDescent="0.2">
      <c r="A93" t="s">
        <v>93</v>
      </c>
      <c r="B93" t="s">
        <v>8</v>
      </c>
      <c r="C93" t="s">
        <v>10</v>
      </c>
      <c r="F93" s="1"/>
      <c r="G93" s="22" t="s">
        <v>96</v>
      </c>
      <c r="H93" t="s">
        <v>95</v>
      </c>
      <c r="I93" t="s">
        <v>131</v>
      </c>
      <c r="J93" t="s">
        <v>131</v>
      </c>
      <c r="K93" t="s">
        <v>179</v>
      </c>
    </row>
    <row r="94" spans="1:26" x14ac:dyDescent="0.2">
      <c r="A94" t="s">
        <v>93</v>
      </c>
      <c r="B94" t="s">
        <v>8</v>
      </c>
      <c r="C94" t="s">
        <v>10</v>
      </c>
      <c r="G94" s="22" t="s">
        <v>94</v>
      </c>
      <c r="I94" t="s">
        <v>136</v>
      </c>
      <c r="K94" t="s">
        <v>178</v>
      </c>
    </row>
    <row r="95" spans="1:26" x14ac:dyDescent="0.2">
      <c r="A95" s="31" t="s">
        <v>93</v>
      </c>
      <c r="B95" t="s">
        <v>7</v>
      </c>
      <c r="C95" s="1" t="s">
        <v>10</v>
      </c>
      <c r="D95" s="1"/>
      <c r="E95" s="1"/>
      <c r="F95" s="1" t="s">
        <v>240</v>
      </c>
      <c r="G95" t="s">
        <v>243</v>
      </c>
      <c r="H95" s="26" t="s">
        <v>95</v>
      </c>
      <c r="I95" s="26" t="s">
        <v>244</v>
      </c>
      <c r="J95" s="26" t="s">
        <v>131</v>
      </c>
      <c r="K95" t="s">
        <v>179</v>
      </c>
    </row>
    <row r="96" spans="1:26" x14ac:dyDescent="0.2">
      <c r="A96" t="s">
        <v>93</v>
      </c>
      <c r="B96" t="s">
        <v>8</v>
      </c>
      <c r="C96" t="s">
        <v>10</v>
      </c>
      <c r="F96" t="s">
        <v>241</v>
      </c>
      <c r="G96" t="s">
        <v>242</v>
      </c>
      <c r="I96" t="s">
        <v>135</v>
      </c>
      <c r="K96" t="s">
        <v>179</v>
      </c>
    </row>
    <row r="97" spans="1:26" s="26" customFormat="1" ht="17" x14ac:dyDescent="0.2">
      <c r="A97" s="32" t="s">
        <v>97</v>
      </c>
      <c r="B97" s="26" t="s">
        <v>7</v>
      </c>
      <c r="C97" s="25" t="s">
        <v>10</v>
      </c>
      <c r="D97" s="25"/>
      <c r="E97" s="25"/>
      <c r="F97" s="25" t="s">
        <v>238</v>
      </c>
      <c r="G97" s="26" t="s">
        <v>98</v>
      </c>
      <c r="H97" s="26" t="s">
        <v>99</v>
      </c>
      <c r="I97" s="26" t="s">
        <v>136</v>
      </c>
      <c r="J97" s="26" t="s">
        <v>136</v>
      </c>
      <c r="K97" s="26" t="s">
        <v>178</v>
      </c>
      <c r="L97" s="5" t="s">
        <v>158</v>
      </c>
      <c r="M97" s="26">
        <v>1</v>
      </c>
      <c r="N97" s="6" t="s">
        <v>165</v>
      </c>
      <c r="O97" s="6" t="s">
        <v>153</v>
      </c>
      <c r="P97" s="6" t="s">
        <v>166</v>
      </c>
      <c r="Q97" s="7">
        <v>12.733333333333333</v>
      </c>
      <c r="R97" s="9">
        <v>91</v>
      </c>
      <c r="S97" s="9">
        <v>23</v>
      </c>
      <c r="U97" s="28" t="s">
        <v>11</v>
      </c>
      <c r="V97" s="28">
        <v>1515</v>
      </c>
      <c r="W97" s="28" t="s">
        <v>11</v>
      </c>
      <c r="X97" s="26">
        <v>74</v>
      </c>
      <c r="Y97" s="26">
        <v>91</v>
      </c>
      <c r="Z97" s="26" t="s">
        <v>177</v>
      </c>
    </row>
    <row r="98" spans="1:26" x14ac:dyDescent="0.2">
      <c r="A98" s="23" t="s">
        <v>97</v>
      </c>
      <c r="B98" t="s">
        <v>7</v>
      </c>
      <c r="C98" s="1" t="s">
        <v>10</v>
      </c>
      <c r="D98" s="1"/>
      <c r="E98" s="1"/>
      <c r="F98" s="1" t="s">
        <v>239</v>
      </c>
      <c r="G98" t="s">
        <v>99</v>
      </c>
      <c r="H98" t="s">
        <v>98</v>
      </c>
      <c r="I98" t="s">
        <v>136</v>
      </c>
      <c r="J98" t="s">
        <v>136</v>
      </c>
      <c r="K98" t="s">
        <v>179</v>
      </c>
    </row>
    <row r="99" spans="1:26" x14ac:dyDescent="0.2">
      <c r="A99" t="s">
        <v>97</v>
      </c>
      <c r="B99" t="s">
        <v>297</v>
      </c>
      <c r="C99" t="s">
        <v>10</v>
      </c>
      <c r="F99" t="s">
        <v>220</v>
      </c>
      <c r="G99" t="s">
        <v>219</v>
      </c>
      <c r="K99" t="s">
        <v>178</v>
      </c>
    </row>
    <row r="100" spans="1:26" s="26" customFormat="1" ht="17" x14ac:dyDescent="0.2">
      <c r="A100" s="25" t="s">
        <v>100</v>
      </c>
      <c r="B100" s="26" t="s">
        <v>298</v>
      </c>
      <c r="C100" s="26" t="s">
        <v>10</v>
      </c>
      <c r="F100" s="26" t="s">
        <v>221</v>
      </c>
      <c r="G100" s="29" t="s">
        <v>101</v>
      </c>
      <c r="I100" s="26" t="s">
        <v>131</v>
      </c>
      <c r="K100" s="26" t="s">
        <v>178</v>
      </c>
      <c r="L100" s="5" t="s">
        <v>158</v>
      </c>
      <c r="M100" s="26">
        <v>0</v>
      </c>
      <c r="N100" s="6" t="s">
        <v>160</v>
      </c>
      <c r="O100" s="6" t="s">
        <v>155</v>
      </c>
      <c r="P100" s="6" t="s">
        <v>156</v>
      </c>
      <c r="Q100" s="7">
        <v>28.466666666666665</v>
      </c>
      <c r="R100" s="8">
        <v>632</v>
      </c>
      <c r="S100" s="8">
        <v>43</v>
      </c>
      <c r="U100" s="28">
        <v>3</v>
      </c>
      <c r="V100" s="28">
        <v>296</v>
      </c>
      <c r="W100" s="28">
        <v>13</v>
      </c>
      <c r="X100" s="26">
        <v>74</v>
      </c>
      <c r="Y100" s="28">
        <v>632</v>
      </c>
      <c r="Z100" s="26" t="s">
        <v>177</v>
      </c>
    </row>
    <row r="101" spans="1:26" x14ac:dyDescent="0.2">
      <c r="A101" s="1" t="s">
        <v>100</v>
      </c>
      <c r="B101" t="s">
        <v>297</v>
      </c>
      <c r="C101" t="s">
        <v>10</v>
      </c>
      <c r="F101" t="s">
        <v>222</v>
      </c>
      <c r="G101" t="s">
        <v>102</v>
      </c>
      <c r="I101" t="s">
        <v>137</v>
      </c>
      <c r="K101" t="s">
        <v>178</v>
      </c>
    </row>
    <row r="102" spans="1:26" x14ac:dyDescent="0.2">
      <c r="A102" s="24" t="s">
        <v>100</v>
      </c>
      <c r="B102" t="s">
        <v>7</v>
      </c>
      <c r="C102" t="s">
        <v>10</v>
      </c>
      <c r="F102" s="1" t="s">
        <v>296</v>
      </c>
      <c r="G102" t="s">
        <v>103</v>
      </c>
      <c r="I102" t="s">
        <v>134</v>
      </c>
      <c r="K102" t="s">
        <v>178</v>
      </c>
    </row>
    <row r="103" spans="1:26" x14ac:dyDescent="0.2">
      <c r="A103" s="24" t="s">
        <v>100</v>
      </c>
      <c r="B103" t="s">
        <v>7</v>
      </c>
      <c r="C103" s="1" t="s">
        <v>10</v>
      </c>
      <c r="D103" s="1"/>
      <c r="E103" s="1"/>
      <c r="F103" s="1" t="s">
        <v>184</v>
      </c>
      <c r="G103" t="s">
        <v>104</v>
      </c>
      <c r="I103" t="s">
        <v>133</v>
      </c>
      <c r="K103" t="s">
        <v>179</v>
      </c>
    </row>
    <row r="104" spans="1:26" s="26" customFormat="1" ht="17" x14ac:dyDescent="0.2">
      <c r="A104" s="25" t="s">
        <v>105</v>
      </c>
      <c r="B104" s="26" t="s">
        <v>7</v>
      </c>
      <c r="C104" s="25" t="s">
        <v>10</v>
      </c>
      <c r="D104" s="25"/>
      <c r="E104" s="25"/>
      <c r="F104" s="25" t="s">
        <v>224</v>
      </c>
      <c r="G104" s="26" t="s">
        <v>106</v>
      </c>
      <c r="H104" t="s">
        <v>108</v>
      </c>
      <c r="I104" s="26" t="s">
        <v>131</v>
      </c>
      <c r="K104" s="26" t="s">
        <v>178</v>
      </c>
      <c r="L104" s="5" t="s">
        <v>158</v>
      </c>
      <c r="M104" s="26">
        <v>1</v>
      </c>
      <c r="N104" s="6" t="s">
        <v>160</v>
      </c>
      <c r="O104" s="6" t="s">
        <v>155</v>
      </c>
      <c r="P104" s="6" t="s">
        <v>156</v>
      </c>
      <c r="Q104" s="7">
        <v>15.566666666666666</v>
      </c>
      <c r="R104" s="9">
        <v>285</v>
      </c>
      <c r="S104" s="9">
        <v>29</v>
      </c>
      <c r="U104" s="28">
        <v>2</v>
      </c>
      <c r="V104" s="28">
        <v>1565</v>
      </c>
      <c r="W104" s="28">
        <v>36</v>
      </c>
      <c r="X104" s="26">
        <v>62</v>
      </c>
      <c r="Y104" s="28">
        <v>295</v>
      </c>
      <c r="Z104" s="26" t="s">
        <v>177</v>
      </c>
    </row>
    <row r="105" spans="1:26" x14ac:dyDescent="0.2">
      <c r="A105" s="1" t="s">
        <v>105</v>
      </c>
      <c r="B105" t="s">
        <v>297</v>
      </c>
      <c r="C105" t="s">
        <v>10</v>
      </c>
      <c r="F105" t="s">
        <v>223</v>
      </c>
      <c r="G105" t="s">
        <v>107</v>
      </c>
      <c r="I105" t="s">
        <v>134</v>
      </c>
      <c r="K105" t="s">
        <v>179</v>
      </c>
    </row>
    <row r="106" spans="1:26" x14ac:dyDescent="0.2">
      <c r="A106" s="1" t="s">
        <v>105</v>
      </c>
      <c r="B106" t="s">
        <v>7</v>
      </c>
      <c r="C106" s="1" t="s">
        <v>10</v>
      </c>
      <c r="D106" s="1"/>
      <c r="F106" s="1" t="s">
        <v>295</v>
      </c>
      <c r="G106" t="s">
        <v>108</v>
      </c>
      <c r="H106" s="26" t="s">
        <v>106</v>
      </c>
      <c r="I106" t="s">
        <v>135</v>
      </c>
      <c r="K106" t="s">
        <v>179</v>
      </c>
    </row>
    <row r="107" spans="1:26" s="26" customFormat="1" ht="17" x14ac:dyDescent="0.2">
      <c r="A107" s="27" t="s">
        <v>109</v>
      </c>
      <c r="B107" s="26" t="s">
        <v>7</v>
      </c>
      <c r="C107" s="25" t="s">
        <v>10</v>
      </c>
      <c r="D107" s="25"/>
      <c r="E107" s="25"/>
      <c r="F107" s="26" t="s">
        <v>226</v>
      </c>
      <c r="G107" s="26" t="s">
        <v>110</v>
      </c>
      <c r="H107" s="26" t="s">
        <v>111</v>
      </c>
      <c r="I107" s="26" t="s">
        <v>131</v>
      </c>
      <c r="J107" s="26" t="s">
        <v>134</v>
      </c>
      <c r="K107" s="26" t="s">
        <v>178</v>
      </c>
      <c r="L107" s="5" t="s">
        <v>164</v>
      </c>
      <c r="M107" s="26">
        <v>1</v>
      </c>
      <c r="N107" s="6" t="s">
        <v>152</v>
      </c>
      <c r="O107" s="6" t="s">
        <v>155</v>
      </c>
      <c r="P107" s="6" t="s">
        <v>156</v>
      </c>
      <c r="Q107" s="7">
        <v>27.233333333333334</v>
      </c>
      <c r="R107" s="9">
        <v>661</v>
      </c>
      <c r="S107" s="9">
        <v>54</v>
      </c>
      <c r="U107" s="28">
        <v>2</v>
      </c>
      <c r="V107" s="28">
        <v>1156</v>
      </c>
      <c r="W107" s="28">
        <v>22</v>
      </c>
      <c r="X107" s="26">
        <v>66</v>
      </c>
      <c r="Y107" s="28">
        <v>661</v>
      </c>
      <c r="Z107" s="26" t="s">
        <v>177</v>
      </c>
    </row>
    <row r="108" spans="1:26" x14ac:dyDescent="0.2">
      <c r="A108" s="24" t="s">
        <v>109</v>
      </c>
      <c r="B108" t="s">
        <v>7</v>
      </c>
      <c r="C108" s="1" t="s">
        <v>10</v>
      </c>
      <c r="D108" s="1"/>
      <c r="E108" s="1"/>
      <c r="F108" s="1" t="s">
        <v>225</v>
      </c>
      <c r="G108" t="s">
        <v>111</v>
      </c>
      <c r="H108" t="s">
        <v>110</v>
      </c>
      <c r="I108" t="s">
        <v>134</v>
      </c>
      <c r="J108" t="s">
        <v>131</v>
      </c>
      <c r="K108" t="s">
        <v>179</v>
      </c>
    </row>
    <row r="109" spans="1:26" s="26" customFormat="1" ht="17" x14ac:dyDescent="0.2">
      <c r="A109" s="27" t="s">
        <v>112</v>
      </c>
      <c r="B109" s="26" t="s">
        <v>7</v>
      </c>
      <c r="C109" s="26" t="s">
        <v>10</v>
      </c>
      <c r="F109" s="26" t="s">
        <v>227</v>
      </c>
      <c r="G109" s="26" t="s">
        <v>113</v>
      </c>
      <c r="I109" s="26" t="s">
        <v>134</v>
      </c>
      <c r="K109" s="26" t="s">
        <v>178</v>
      </c>
      <c r="L109" s="5" t="s">
        <v>158</v>
      </c>
      <c r="M109" s="26">
        <v>1</v>
      </c>
      <c r="N109" s="6" t="s">
        <v>165</v>
      </c>
      <c r="O109" s="6" t="s">
        <v>155</v>
      </c>
      <c r="P109" s="6" t="s">
        <v>161</v>
      </c>
      <c r="Q109" s="7">
        <v>2.2666666666666666</v>
      </c>
      <c r="R109" s="9">
        <v>19</v>
      </c>
      <c r="S109" s="9" t="s">
        <v>167</v>
      </c>
      <c r="U109" s="28" t="s">
        <v>11</v>
      </c>
      <c r="V109" s="28">
        <v>5614</v>
      </c>
      <c r="W109" s="28" t="s">
        <v>11</v>
      </c>
      <c r="X109" s="26">
        <v>75</v>
      </c>
      <c r="Y109" s="26">
        <v>19</v>
      </c>
      <c r="Z109" s="26" t="s">
        <v>177</v>
      </c>
    </row>
    <row r="110" spans="1:26" x14ac:dyDescent="0.2">
      <c r="A110" s="1" t="s">
        <v>112</v>
      </c>
      <c r="B110" t="s">
        <v>297</v>
      </c>
      <c r="C110" t="s">
        <v>10</v>
      </c>
      <c r="F110" t="s">
        <v>228</v>
      </c>
      <c r="G110" t="s">
        <v>114</v>
      </c>
      <c r="I110" t="s">
        <v>131</v>
      </c>
      <c r="K110" t="s">
        <v>178</v>
      </c>
    </row>
    <row r="111" spans="1:26" x14ac:dyDescent="0.2">
      <c r="A111" s="1" t="s">
        <v>112</v>
      </c>
      <c r="B111" t="s">
        <v>298</v>
      </c>
      <c r="C111" t="s">
        <v>10</v>
      </c>
      <c r="F111" t="s">
        <v>229</v>
      </c>
      <c r="G111" t="s">
        <v>115</v>
      </c>
      <c r="I111" t="s">
        <v>135</v>
      </c>
      <c r="K111" t="s">
        <v>178</v>
      </c>
    </row>
    <row r="112" spans="1:26" x14ac:dyDescent="0.2">
      <c r="A112" s="1" t="s">
        <v>112</v>
      </c>
      <c r="B112" t="s">
        <v>299</v>
      </c>
      <c r="C112" t="s">
        <v>10</v>
      </c>
      <c r="F112" t="s">
        <v>230</v>
      </c>
      <c r="G112" t="s">
        <v>116</v>
      </c>
      <c r="I112" t="s">
        <v>132</v>
      </c>
      <c r="K112" t="s">
        <v>178</v>
      </c>
    </row>
    <row r="113" spans="1:26" x14ac:dyDescent="0.2">
      <c r="A113" s="1" t="s">
        <v>112</v>
      </c>
      <c r="B113" t="s">
        <v>8</v>
      </c>
      <c r="C113" t="s">
        <v>10</v>
      </c>
      <c r="F113" t="s">
        <v>231</v>
      </c>
      <c r="G113" t="s">
        <v>117</v>
      </c>
      <c r="I113" t="s">
        <v>136</v>
      </c>
      <c r="K113" t="s">
        <v>179</v>
      </c>
    </row>
    <row r="114" spans="1:26" x14ac:dyDescent="0.2">
      <c r="A114" s="24" t="s">
        <v>112</v>
      </c>
      <c r="B114" t="s">
        <v>7</v>
      </c>
      <c r="C114" s="1" t="s">
        <v>10</v>
      </c>
      <c r="D114" s="1"/>
      <c r="F114" s="1" t="s">
        <v>232</v>
      </c>
      <c r="G114" t="s">
        <v>118</v>
      </c>
      <c r="I114" t="s">
        <v>136</v>
      </c>
      <c r="K114" t="s">
        <v>179</v>
      </c>
    </row>
    <row r="115" spans="1:26" s="26" customFormat="1" x14ac:dyDescent="0.2">
      <c r="A115" s="27" t="s">
        <v>119</v>
      </c>
      <c r="B115" s="26" t="s">
        <v>7</v>
      </c>
      <c r="C115" s="25" t="s">
        <v>10</v>
      </c>
      <c r="D115" s="25"/>
      <c r="F115" s="25" t="s">
        <v>233</v>
      </c>
      <c r="G115" s="26" t="s">
        <v>120</v>
      </c>
      <c r="I115" s="26" t="s">
        <v>131</v>
      </c>
      <c r="K115" s="26" t="s">
        <v>178</v>
      </c>
      <c r="L115" s="5" t="s">
        <v>158</v>
      </c>
      <c r="M115" s="26">
        <v>1</v>
      </c>
      <c r="N115" s="6" t="s">
        <v>159</v>
      </c>
      <c r="O115" s="6" t="s">
        <v>155</v>
      </c>
      <c r="P115" s="6" t="s">
        <v>154</v>
      </c>
      <c r="Q115" s="7">
        <v>9.1</v>
      </c>
      <c r="R115" s="8">
        <v>63</v>
      </c>
      <c r="S115" s="15">
        <v>43</v>
      </c>
      <c r="Y115" s="26">
        <v>63</v>
      </c>
      <c r="Z115" s="26" t="s">
        <v>175</v>
      </c>
    </row>
    <row r="116" spans="1:26" ht="17" x14ac:dyDescent="0.2">
      <c r="A116" s="1" t="s">
        <v>119</v>
      </c>
      <c r="B116" t="s">
        <v>297</v>
      </c>
      <c r="C116" t="s">
        <v>10</v>
      </c>
      <c r="F116" t="s">
        <v>234</v>
      </c>
      <c r="G116" s="4" t="s">
        <v>122</v>
      </c>
      <c r="I116" t="s">
        <v>134</v>
      </c>
      <c r="K116" t="s">
        <v>179</v>
      </c>
    </row>
    <row r="117" spans="1:26" x14ac:dyDescent="0.2">
      <c r="A117" s="46" t="s">
        <v>119</v>
      </c>
      <c r="B117" t="s">
        <v>7</v>
      </c>
      <c r="C117" t="s">
        <v>10</v>
      </c>
      <c r="F117" t="s">
        <v>235</v>
      </c>
      <c r="G117" t="s">
        <v>123</v>
      </c>
      <c r="I117" t="s">
        <v>135</v>
      </c>
      <c r="K117" t="s">
        <v>179</v>
      </c>
    </row>
    <row r="118" spans="1:26" s="26" customFormat="1" x14ac:dyDescent="0.2">
      <c r="A118" s="27" t="s">
        <v>121</v>
      </c>
      <c r="B118" s="26" t="s">
        <v>7</v>
      </c>
      <c r="C118" s="25" t="s">
        <v>10</v>
      </c>
      <c r="D118" s="25"/>
      <c r="E118" s="25"/>
      <c r="F118" s="25" t="s">
        <v>225</v>
      </c>
      <c r="G118" s="26" t="s">
        <v>124</v>
      </c>
      <c r="H118" s="26" t="s">
        <v>125</v>
      </c>
      <c r="I118" s="26" t="s">
        <v>135</v>
      </c>
      <c r="J118" s="26" t="s">
        <v>134</v>
      </c>
      <c r="K118" s="26" t="s">
        <v>178</v>
      </c>
      <c r="L118" s="5" t="s">
        <v>151</v>
      </c>
      <c r="M118" s="26">
        <v>1</v>
      </c>
      <c r="N118" s="16" t="s">
        <v>152</v>
      </c>
      <c r="O118" s="16" t="s">
        <v>155</v>
      </c>
      <c r="P118" s="16" t="s">
        <v>157</v>
      </c>
      <c r="Q118" s="7">
        <v>6.0333333333333332</v>
      </c>
      <c r="R118" s="9">
        <v>19</v>
      </c>
      <c r="S118" s="9">
        <v>27</v>
      </c>
      <c r="Y118" s="26">
        <v>19</v>
      </c>
      <c r="Z118" s="26" t="s">
        <v>175</v>
      </c>
    </row>
    <row r="119" spans="1:26" x14ac:dyDescent="0.2">
      <c r="A119" s="24" t="s">
        <v>121</v>
      </c>
      <c r="B119" t="s">
        <v>7</v>
      </c>
      <c r="C119" s="1" t="s">
        <v>10</v>
      </c>
      <c r="D119" s="1"/>
      <c r="E119" s="1"/>
      <c r="F119" s="1" t="s">
        <v>201</v>
      </c>
      <c r="G119" t="s">
        <v>125</v>
      </c>
      <c r="H119" t="s">
        <v>124</v>
      </c>
      <c r="I119" t="s">
        <v>134</v>
      </c>
      <c r="J119" t="s">
        <v>135</v>
      </c>
      <c r="K119" t="s">
        <v>179</v>
      </c>
    </row>
    <row r="120" spans="1:26" s="26" customFormat="1" x14ac:dyDescent="0.2">
      <c r="A120" s="27" t="s">
        <v>126</v>
      </c>
      <c r="B120" s="26" t="s">
        <v>7</v>
      </c>
      <c r="C120" s="25" t="s">
        <v>10</v>
      </c>
      <c r="D120" s="25"/>
      <c r="E120" s="25"/>
      <c r="F120" s="25" t="s">
        <v>236</v>
      </c>
      <c r="G120" s="26" t="s">
        <v>127</v>
      </c>
      <c r="H120" s="26" t="s">
        <v>128</v>
      </c>
      <c r="I120" s="26" t="s">
        <v>131</v>
      </c>
      <c r="J120" s="26" t="s">
        <v>133</v>
      </c>
      <c r="K120" s="26" t="s">
        <v>178</v>
      </c>
      <c r="L120" s="5" t="s">
        <v>158</v>
      </c>
      <c r="M120" s="26">
        <v>1</v>
      </c>
      <c r="N120" s="6" t="s">
        <v>152</v>
      </c>
      <c r="O120" s="6" t="s">
        <v>155</v>
      </c>
      <c r="P120" s="6" t="s">
        <v>157</v>
      </c>
      <c r="Q120" s="7">
        <v>6.9666666666666668</v>
      </c>
      <c r="R120" s="9">
        <v>0</v>
      </c>
      <c r="S120" s="9">
        <v>14</v>
      </c>
      <c r="Y120" s="26">
        <v>0</v>
      </c>
      <c r="Z120" s="26" t="s">
        <v>175</v>
      </c>
    </row>
    <row r="121" spans="1:26" x14ac:dyDescent="0.2">
      <c r="A121" s="24" t="s">
        <v>126</v>
      </c>
      <c r="B121" t="s">
        <v>7</v>
      </c>
      <c r="C121" s="1" t="s">
        <v>10</v>
      </c>
      <c r="D121" s="1"/>
      <c r="E121" s="1"/>
      <c r="F121" s="1" t="s">
        <v>237</v>
      </c>
      <c r="G121" t="s">
        <v>128</v>
      </c>
      <c r="H121" t="s">
        <v>127</v>
      </c>
      <c r="I121" t="s">
        <v>133</v>
      </c>
      <c r="J121" t="s">
        <v>131</v>
      </c>
      <c r="K121" t="s">
        <v>179</v>
      </c>
    </row>
    <row r="125" spans="1:26" ht="18" x14ac:dyDescent="0.2">
      <c r="A125" s="1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logistics4h@gmail.com</dc:creator>
  <cp:lastModifiedBy>logistics4h@gmail.com</cp:lastModifiedBy>
  <dcterms:created xsi:type="dcterms:W3CDTF">2025-08-18T21:57:48Z</dcterms:created>
  <dcterms:modified xsi:type="dcterms:W3CDTF">2026-01-27T18:43:35Z</dcterms:modified>
</cp:coreProperties>
</file>